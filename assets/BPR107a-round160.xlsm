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amod Kumar\Desktop\BPR107\"/>
    </mc:Choice>
  </mc:AlternateContent>
  <xr:revisionPtr revIDLastSave="0" documentId="13_ncr:1_{91766B17-E9A3-4C20-BD82-EBD3CB477DD5}" xr6:coauthVersionLast="47" xr6:coauthVersionMax="47" xr10:uidLastSave="{00000000-0000-0000-0000-000000000000}"/>
  <bookViews>
    <workbookView showHorizontalScroll="0" showVerticalScroll="0" xWindow="-110" yWindow="-110" windowWidth="19420" windowHeight="11500" tabRatio="497" activeTab="1" autoFilterDateGrouping="0" xr2:uid="{00000000-000D-0000-FFFF-FFFF00000000}"/>
  </bookViews>
  <sheets>
    <sheet name="Load" sheetId="16" r:id="rId1"/>
    <sheet name="Mix Design" sheetId="3" r:id="rId2"/>
    <sheet name="1" sheetId="9" r:id="rId3"/>
    <sheet name="2" sheetId="15" r:id="rId4"/>
    <sheet name="3" sheetId="7" r:id="rId5"/>
    <sheet name="4" sheetId="6" r:id="rId6"/>
    <sheet name="5" sheetId="5" r:id="rId7"/>
    <sheet name="6" sheetId="4" r:id="rId8"/>
    <sheet name="7" sheetId="10" r:id="rId9"/>
    <sheet name="8" sheetId="17" r:id="rId10"/>
    <sheet name="888" sheetId="1" state="hidden" r:id="rId11"/>
    <sheet name="9" sheetId="18" r:id="rId12"/>
    <sheet name="10" sheetId="19" r:id="rId13"/>
    <sheet name="999" sheetId="13" state="hidden" r:id="rId14"/>
  </sheets>
  <definedNames>
    <definedName name="A1_Sites">'Mix Design'!$AD$4:$AD$4</definedName>
    <definedName name="A2_Sites">'Mix Design'!$AD$6:$AD$6</definedName>
    <definedName name="BHAVISRI">'Mix Design'!$AC$8:$AC$8</definedName>
    <definedName name="Bovikanam_Hospital">'Mix Design'!$AC$10:$AC$10</definedName>
    <definedName name="Gopalan">'Mix Design'!$AD$6</definedName>
    <definedName name="Miyapadav">'Mix Design'!$AD$11:$AD$11</definedName>
    <definedName name="NELLITHADAM">'Mix Design'!$AC$8:$AC$8</definedName>
    <definedName name="Pachambalam">'Mix Design'!$AD$4:$AD$4</definedName>
    <definedName name="Periyadka">'Mix Design'!$AD$6:$AD$6</definedName>
    <definedName name="_xlnm.Print_Area" localSheetId="2">'1'!$B$1:$U$34</definedName>
    <definedName name="_xlnm.Print_Area" localSheetId="12">'10'!$B$2:$U$70</definedName>
    <definedName name="_xlnm.Print_Area" localSheetId="3">'2'!$B$1:$U$38</definedName>
    <definedName name="_xlnm.Print_Area" localSheetId="4">'3'!$B$1:$U$42</definedName>
    <definedName name="_xlnm.Print_Area" localSheetId="5">'4'!$B$1:$U$46</definedName>
    <definedName name="_xlnm.Print_Area" localSheetId="6">'5'!$B$1:$U$50</definedName>
    <definedName name="_xlnm.Print_Area" localSheetId="7">'6'!$B$1:$U$54</definedName>
    <definedName name="_xlnm.Print_Area" localSheetId="8">'7'!$B$1:$U$58</definedName>
    <definedName name="_xlnm.Print_Area" localSheetId="9">'8'!$B$2:$U$62</definedName>
    <definedName name="_xlnm.Print_Area" localSheetId="10">'888'!$B$1:$U$62</definedName>
    <definedName name="_xlnm.Print_Area" localSheetId="11">'9'!$B$2:$U$66</definedName>
    <definedName name="_xlnm.Print_Area" localSheetId="13">'999'!$B$1:$U$66</definedName>
    <definedName name="_xlnm.Print_Area" localSheetId="0">Load!$L$66</definedName>
    <definedName name="_xlnm.Print_Titles" localSheetId="2">'1'!$2:$7</definedName>
    <definedName name="_xlnm.Print_Titles" localSheetId="12">'10'!$2:$7</definedName>
    <definedName name="_xlnm.Print_Titles" localSheetId="3">'2'!$2:$7</definedName>
    <definedName name="_xlnm.Print_Titles" localSheetId="4">'3'!$2:$7</definedName>
    <definedName name="_xlnm.Print_Titles" localSheetId="5">'4'!$2:$7</definedName>
    <definedName name="_xlnm.Print_Titles" localSheetId="6">'5'!$2:$7</definedName>
    <definedName name="_xlnm.Print_Titles" localSheetId="7">'6'!$2:$7</definedName>
    <definedName name="_xlnm.Print_Titles" localSheetId="8">'7'!$2:$7</definedName>
    <definedName name="_xlnm.Print_Titles" localSheetId="9">'8'!$2:$7</definedName>
    <definedName name="_xlnm.Print_Titles" localSheetId="10">'888'!$2:$7</definedName>
    <definedName name="_xlnm.Print_Titles" localSheetId="11">'9'!$2:$7</definedName>
    <definedName name="_xlnm.Print_Titles" localSheetId="13">'999'!$2:$7</definedName>
    <definedName name="RazakPachambalam">'Mix Design'!$AD$4</definedName>
    <definedName name="soorambail">'Mix Design'!$AD$9:$AD$9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0" i="9" l="1"/>
  <c r="G10" i="15"/>
  <c r="G10" i="7"/>
  <c r="G10" i="6"/>
  <c r="G10" i="5"/>
  <c r="G10" i="4"/>
  <c r="G10" i="10"/>
  <c r="G10" i="17"/>
  <c r="G10" i="18"/>
  <c r="G10" i="19"/>
  <c r="T68" i="19"/>
  <c r="Q68" i="19"/>
  <c r="Q66" i="19"/>
  <c r="U63" i="19"/>
  <c r="S63" i="19"/>
  <c r="Q63" i="19"/>
  <c r="P63" i="19"/>
  <c r="N63" i="19"/>
  <c r="I40" i="16"/>
  <c r="U68" i="19"/>
  <c r="U59" i="19"/>
  <c r="S59" i="19"/>
  <c r="Q59" i="19"/>
  <c r="P59" i="19"/>
  <c r="N59" i="19"/>
  <c r="U55" i="19"/>
  <c r="S55" i="19"/>
  <c r="Q55" i="19"/>
  <c r="P55" i="19"/>
  <c r="N55" i="19"/>
  <c r="F55" i="19"/>
  <c r="U51" i="19"/>
  <c r="S51" i="19"/>
  <c r="Q51" i="19"/>
  <c r="P51" i="19"/>
  <c r="N51" i="19"/>
  <c r="U47" i="19"/>
  <c r="S47" i="19"/>
  <c r="Q47" i="19"/>
  <c r="P47" i="19"/>
  <c r="N47" i="19"/>
  <c r="U43" i="19"/>
  <c r="S43" i="19"/>
  <c r="Q43" i="19"/>
  <c r="P43" i="19"/>
  <c r="N43" i="19"/>
  <c r="U39" i="19"/>
  <c r="S39" i="19"/>
  <c r="Q39" i="19"/>
  <c r="P39" i="19"/>
  <c r="N39" i="19"/>
  <c r="U35" i="19"/>
  <c r="S35" i="19"/>
  <c r="Q35" i="19"/>
  <c r="P35" i="19"/>
  <c r="N35" i="19"/>
  <c r="F35" i="19"/>
  <c r="U31" i="19"/>
  <c r="S31" i="19"/>
  <c r="Q31" i="19"/>
  <c r="P31" i="19"/>
  <c r="N31" i="19"/>
  <c r="N28" i="19"/>
  <c r="N68" i="19" s="1"/>
  <c r="J27" i="19"/>
  <c r="J31" i="19" s="1"/>
  <c r="G27" i="19"/>
  <c r="G43" i="19" s="1"/>
  <c r="F27" i="19"/>
  <c r="F31" i="19" s="1"/>
  <c r="C27" i="19"/>
  <c r="J18" i="19"/>
  <c r="J17" i="19"/>
  <c r="J16" i="19"/>
  <c r="T14" i="19"/>
  <c r="J14" i="19"/>
  <c r="J13" i="19"/>
  <c r="T12" i="19"/>
  <c r="T16" i="19" s="1"/>
  <c r="J12" i="19"/>
  <c r="T11" i="19"/>
  <c r="J11" i="19"/>
  <c r="G9" i="19"/>
  <c r="G8" i="19"/>
  <c r="J15" i="19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4" i="3"/>
  <c r="J17" i="17"/>
  <c r="G9" i="17"/>
  <c r="T64" i="18"/>
  <c r="Q64" i="18"/>
  <c r="U59" i="18"/>
  <c r="S59" i="18"/>
  <c r="Q59" i="18"/>
  <c r="P59" i="18"/>
  <c r="N59" i="18"/>
  <c r="U64" i="18"/>
  <c r="U55" i="18"/>
  <c r="S55" i="18"/>
  <c r="Q55" i="18"/>
  <c r="P55" i="18"/>
  <c r="N55" i="18"/>
  <c r="U51" i="18"/>
  <c r="S51" i="18"/>
  <c r="Q51" i="18"/>
  <c r="P51" i="18"/>
  <c r="N51" i="18"/>
  <c r="U47" i="18"/>
  <c r="S47" i="18"/>
  <c r="Q47" i="18"/>
  <c r="P47" i="18"/>
  <c r="N47" i="18"/>
  <c r="U43" i="18"/>
  <c r="S43" i="18"/>
  <c r="Q43" i="18"/>
  <c r="P43" i="18"/>
  <c r="N43" i="18"/>
  <c r="U39" i="18"/>
  <c r="S39" i="18"/>
  <c r="Q39" i="18"/>
  <c r="P39" i="18"/>
  <c r="N39" i="18"/>
  <c r="U35" i="18"/>
  <c r="S35" i="18"/>
  <c r="Q35" i="18"/>
  <c r="P35" i="18"/>
  <c r="N35" i="18"/>
  <c r="U31" i="18"/>
  <c r="S31" i="18"/>
  <c r="Q31" i="18"/>
  <c r="P31" i="18"/>
  <c r="N31" i="18"/>
  <c r="N28" i="18"/>
  <c r="N64" i="18" s="1"/>
  <c r="J27" i="18"/>
  <c r="J35" i="18" s="1"/>
  <c r="G27" i="18"/>
  <c r="G31" i="18" s="1"/>
  <c r="F27" i="18"/>
  <c r="F51" i="18" s="1"/>
  <c r="C27" i="18"/>
  <c r="J16" i="18"/>
  <c r="T14" i="18"/>
  <c r="J14" i="18"/>
  <c r="J13" i="18"/>
  <c r="T12" i="18"/>
  <c r="J12" i="18"/>
  <c r="T11" i="18"/>
  <c r="J11" i="18"/>
  <c r="G8" i="18"/>
  <c r="T60" i="17"/>
  <c r="Q60" i="17"/>
  <c r="U55" i="17"/>
  <c r="S55" i="17"/>
  <c r="Q55" i="17"/>
  <c r="P55" i="17"/>
  <c r="N55" i="17"/>
  <c r="U60" i="17"/>
  <c r="U51" i="17"/>
  <c r="S51" i="17"/>
  <c r="Q51" i="17"/>
  <c r="P51" i="17"/>
  <c r="N51" i="17"/>
  <c r="U47" i="17"/>
  <c r="S47" i="17"/>
  <c r="Q47" i="17"/>
  <c r="P47" i="17"/>
  <c r="N47" i="17"/>
  <c r="U43" i="17"/>
  <c r="S43" i="17"/>
  <c r="Q43" i="17"/>
  <c r="P43" i="17"/>
  <c r="N43" i="17"/>
  <c r="U39" i="17"/>
  <c r="S39" i="17"/>
  <c r="Q39" i="17"/>
  <c r="P39" i="17"/>
  <c r="N39" i="17"/>
  <c r="U35" i="17"/>
  <c r="S35" i="17"/>
  <c r="Q35" i="17"/>
  <c r="P35" i="17"/>
  <c r="N35" i="17"/>
  <c r="U31" i="17"/>
  <c r="S31" i="17"/>
  <c r="Q31" i="17"/>
  <c r="P31" i="17"/>
  <c r="N31" i="17"/>
  <c r="N28" i="17"/>
  <c r="N60" i="17" s="1"/>
  <c r="J27" i="17"/>
  <c r="J43" i="17" s="1"/>
  <c r="G27" i="17"/>
  <c r="G43" i="17" s="1"/>
  <c r="F27" i="17"/>
  <c r="F47" i="17" s="1"/>
  <c r="C27" i="17"/>
  <c r="J16" i="17"/>
  <c r="T14" i="17"/>
  <c r="J14" i="17"/>
  <c r="J13" i="17"/>
  <c r="T12" i="17"/>
  <c r="J12" i="17"/>
  <c r="T11" i="17"/>
  <c r="J11" i="17"/>
  <c r="G8" i="17"/>
  <c r="J39" i="16"/>
  <c r="E39" i="16"/>
  <c r="H45" i="16"/>
  <c r="BO46" i="16" s="1"/>
  <c r="G35" i="19" l="1"/>
  <c r="J35" i="19"/>
  <c r="B57" i="19"/>
  <c r="G47" i="19"/>
  <c r="G55" i="19"/>
  <c r="J47" i="19"/>
  <c r="J55" i="19"/>
  <c r="G51" i="19"/>
  <c r="J63" i="19"/>
  <c r="G31" i="19"/>
  <c r="F39" i="19"/>
  <c r="F59" i="19"/>
  <c r="G63" i="19"/>
  <c r="G39" i="19"/>
  <c r="G59" i="19"/>
  <c r="F63" i="19"/>
  <c r="F51" i="19"/>
  <c r="F47" i="19"/>
  <c r="J39" i="19"/>
  <c r="J51" i="19"/>
  <c r="J59" i="19"/>
  <c r="J43" i="19"/>
  <c r="F43" i="19"/>
  <c r="AA48" i="16"/>
  <c r="D26" i="19" s="1"/>
  <c r="D62" i="19" s="1"/>
  <c r="AE46" i="16"/>
  <c r="E23" i="19" s="1"/>
  <c r="AE47" i="16"/>
  <c r="E25" i="19" s="1"/>
  <c r="E45" i="19" s="1"/>
  <c r="AG47" i="16"/>
  <c r="H25" i="19" s="1"/>
  <c r="H61" i="19" s="1"/>
  <c r="AG48" i="16"/>
  <c r="H26" i="19" s="1"/>
  <c r="H46" i="19" s="1"/>
  <c r="AR46" i="16"/>
  <c r="M23" i="19" s="1"/>
  <c r="M27" i="19" s="1"/>
  <c r="AE48" i="16"/>
  <c r="E26" i="19" s="1"/>
  <c r="E62" i="19" s="1"/>
  <c r="AG46" i="16"/>
  <c r="H23" i="19" s="1"/>
  <c r="AJ46" i="16"/>
  <c r="AL46" i="16"/>
  <c r="K23" i="19" s="1"/>
  <c r="AP46" i="16"/>
  <c r="L23" i="19" s="1"/>
  <c r="AV46" i="16"/>
  <c r="R23" i="19" s="1"/>
  <c r="W47" i="16"/>
  <c r="B25" i="19" s="1"/>
  <c r="B53" i="19" s="1"/>
  <c r="AY46" i="16"/>
  <c r="T23" i="19" s="1"/>
  <c r="BC46" i="16"/>
  <c r="O23" i="19" s="1"/>
  <c r="AA46" i="16"/>
  <c r="D23" i="19" s="1"/>
  <c r="BM46" i="16"/>
  <c r="W48" i="16"/>
  <c r="B26" i="19" s="1"/>
  <c r="B62" i="19" s="1"/>
  <c r="AA47" i="16"/>
  <c r="D25" i="19" s="1"/>
  <c r="D53" i="19" s="1"/>
  <c r="W46" i="16"/>
  <c r="B23" i="19" s="1"/>
  <c r="J17" i="18"/>
  <c r="G9" i="18"/>
  <c r="Q62" i="18"/>
  <c r="Q58" i="17"/>
  <c r="F59" i="18"/>
  <c r="F55" i="17"/>
  <c r="J59" i="18"/>
  <c r="T16" i="17"/>
  <c r="T16" i="18"/>
  <c r="J55" i="18"/>
  <c r="F47" i="18"/>
  <c r="G51" i="18"/>
  <c r="J31" i="18"/>
  <c r="F35" i="18"/>
  <c r="F39" i="18"/>
  <c r="G59" i="18"/>
  <c r="G39" i="18"/>
  <c r="J43" i="18"/>
  <c r="G47" i="18"/>
  <c r="J51" i="18"/>
  <c r="G35" i="18"/>
  <c r="J39" i="18"/>
  <c r="F55" i="18"/>
  <c r="F43" i="18"/>
  <c r="G55" i="18"/>
  <c r="F31" i="18"/>
  <c r="G43" i="18"/>
  <c r="J47" i="18"/>
  <c r="J51" i="17"/>
  <c r="G55" i="17"/>
  <c r="J47" i="17"/>
  <c r="J55" i="17"/>
  <c r="F31" i="17"/>
  <c r="J31" i="17"/>
  <c r="F35" i="17"/>
  <c r="G35" i="17"/>
  <c r="J39" i="17"/>
  <c r="G47" i="17"/>
  <c r="F43" i="17"/>
  <c r="G31" i="17"/>
  <c r="J35" i="17"/>
  <c r="F51" i="17"/>
  <c r="F39" i="17"/>
  <c r="G51" i="17"/>
  <c r="G39" i="17"/>
  <c r="BC45" i="16"/>
  <c r="O21" i="19" s="1"/>
  <c r="AY45" i="16"/>
  <c r="AV45" i="16"/>
  <c r="AR45" i="16"/>
  <c r="AP45" i="16"/>
  <c r="AL45" i="16"/>
  <c r="AJ45" i="16"/>
  <c r="I21" i="19" s="1"/>
  <c r="AG45" i="16"/>
  <c r="AE45" i="16"/>
  <c r="AA45" i="16"/>
  <c r="W45" i="16"/>
  <c r="G9" i="13"/>
  <c r="G9" i="1"/>
  <c r="G9" i="10"/>
  <c r="G9" i="4"/>
  <c r="G9" i="5"/>
  <c r="G9" i="6"/>
  <c r="G9" i="7"/>
  <c r="G9" i="15"/>
  <c r="G9" i="9"/>
  <c r="H54" i="19" l="1"/>
  <c r="H34" i="19"/>
  <c r="H38" i="19"/>
  <c r="H37" i="19"/>
  <c r="D27" i="19"/>
  <c r="D40" i="19" s="1"/>
  <c r="D46" i="19"/>
  <c r="D34" i="19"/>
  <c r="B38" i="19"/>
  <c r="B54" i="19"/>
  <c r="B50" i="19"/>
  <c r="B61" i="19"/>
  <c r="D58" i="19"/>
  <c r="E33" i="19"/>
  <c r="B30" i="19"/>
  <c r="E29" i="19"/>
  <c r="E49" i="19"/>
  <c r="E53" i="19"/>
  <c r="H58" i="19"/>
  <c r="E61" i="19"/>
  <c r="E21" i="18"/>
  <c r="E21" i="19"/>
  <c r="H21" i="18"/>
  <c r="H21" i="19"/>
  <c r="K21" i="18"/>
  <c r="K21" i="19"/>
  <c r="L21" i="18"/>
  <c r="L21" i="19"/>
  <c r="M21" i="18"/>
  <c r="M21" i="19"/>
  <c r="H50" i="19"/>
  <c r="H62" i="19"/>
  <c r="R21" i="18"/>
  <c r="R21" i="19"/>
  <c r="H57" i="19"/>
  <c r="E54" i="19"/>
  <c r="T21" i="18"/>
  <c r="T21" i="19"/>
  <c r="D45" i="19"/>
  <c r="D29" i="19"/>
  <c r="E42" i="19"/>
  <c r="E38" i="19"/>
  <c r="H53" i="19"/>
  <c r="E50" i="19"/>
  <c r="B58" i="19"/>
  <c r="D42" i="19"/>
  <c r="E58" i="19"/>
  <c r="B46" i="19"/>
  <c r="E57" i="19"/>
  <c r="H30" i="19"/>
  <c r="E46" i="19"/>
  <c r="B34" i="19"/>
  <c r="E37" i="19"/>
  <c r="E41" i="19"/>
  <c r="D49" i="19"/>
  <c r="B42" i="19"/>
  <c r="E34" i="19"/>
  <c r="H49" i="19"/>
  <c r="D33" i="19"/>
  <c r="D37" i="19"/>
  <c r="E30" i="19"/>
  <c r="D54" i="19"/>
  <c r="H29" i="19"/>
  <c r="D41" i="19"/>
  <c r="B45" i="19"/>
  <c r="B29" i="19"/>
  <c r="B49" i="19"/>
  <c r="H41" i="19"/>
  <c r="D38" i="19"/>
  <c r="H45" i="19"/>
  <c r="B33" i="19"/>
  <c r="B21" i="18"/>
  <c r="B21" i="19"/>
  <c r="B37" i="19"/>
  <c r="H42" i="19"/>
  <c r="D50" i="19"/>
  <c r="H33" i="19"/>
  <c r="D61" i="19"/>
  <c r="D57" i="19"/>
  <c r="D21" i="18"/>
  <c r="D21" i="19"/>
  <c r="H27" i="19"/>
  <c r="H63" i="19" s="1"/>
  <c r="D30" i="19"/>
  <c r="B41" i="19"/>
  <c r="M64" i="19"/>
  <c r="M63" i="19"/>
  <c r="T27" i="19"/>
  <c r="R27" i="19"/>
  <c r="B27" i="19"/>
  <c r="I27" i="19"/>
  <c r="E27" i="19"/>
  <c r="K27" i="19"/>
  <c r="L27" i="19"/>
  <c r="D35" i="19"/>
  <c r="M52" i="19"/>
  <c r="M51" i="19"/>
  <c r="M59" i="19"/>
  <c r="M56" i="19"/>
  <c r="M40" i="19"/>
  <c r="M60" i="19"/>
  <c r="M47" i="19"/>
  <c r="M44" i="19"/>
  <c r="M48" i="19"/>
  <c r="M31" i="19"/>
  <c r="M55" i="19"/>
  <c r="M32" i="19"/>
  <c r="M43" i="19"/>
  <c r="M39" i="19"/>
  <c r="M35" i="19"/>
  <c r="M36" i="19"/>
  <c r="M28" i="19"/>
  <c r="R47" i="19"/>
  <c r="H39" i="19"/>
  <c r="H32" i="19"/>
  <c r="H48" i="19"/>
  <c r="J18" i="1"/>
  <c r="J18" i="18"/>
  <c r="J18" i="17"/>
  <c r="O21" i="17"/>
  <c r="O21" i="18"/>
  <c r="I21" i="17"/>
  <c r="I21" i="18"/>
  <c r="I27" i="17"/>
  <c r="I48" i="17" s="1"/>
  <c r="I27" i="18"/>
  <c r="Y55" i="16"/>
  <c r="H21" i="17"/>
  <c r="Y57" i="16"/>
  <c r="K21" i="17"/>
  <c r="Y58" i="16"/>
  <c r="L21" i="17"/>
  <c r="Y54" i="16"/>
  <c r="E21" i="17"/>
  <c r="Y59" i="16"/>
  <c r="M21" i="17"/>
  <c r="Y52" i="16"/>
  <c r="B21" i="17"/>
  <c r="Y61" i="16"/>
  <c r="R21" i="17"/>
  <c r="Y53" i="16"/>
  <c r="D21" i="17"/>
  <c r="Y62" i="16"/>
  <c r="T21" i="17"/>
  <c r="J18" i="13"/>
  <c r="J18" i="15"/>
  <c r="J18" i="4"/>
  <c r="J18" i="9"/>
  <c r="J18" i="7"/>
  <c r="J18" i="10"/>
  <c r="J18" i="5"/>
  <c r="J18" i="6"/>
  <c r="D64" i="19" l="1"/>
  <c r="D39" i="19"/>
  <c r="D55" i="19"/>
  <c r="D43" i="19"/>
  <c r="D31" i="19"/>
  <c r="D60" i="19"/>
  <c r="D59" i="19"/>
  <c r="D63" i="19"/>
  <c r="D56" i="19"/>
  <c r="D48" i="19"/>
  <c r="D44" i="19"/>
  <c r="D32" i="19"/>
  <c r="D47" i="19"/>
  <c r="D51" i="19"/>
  <c r="D66" i="19" s="1"/>
  <c r="D36" i="19"/>
  <c r="D28" i="19"/>
  <c r="D52" i="19"/>
  <c r="H31" i="19"/>
  <c r="H51" i="19"/>
  <c r="H36" i="19"/>
  <c r="H44" i="19"/>
  <c r="H60" i="19"/>
  <c r="H47" i="19"/>
  <c r="H59" i="19"/>
  <c r="H43" i="19"/>
  <c r="H56" i="19"/>
  <c r="H52" i="19"/>
  <c r="H28" i="19"/>
  <c r="H40" i="19"/>
  <c r="H64" i="19"/>
  <c r="H35" i="19"/>
  <c r="H55" i="19"/>
  <c r="M66" i="19"/>
  <c r="M68" i="19"/>
  <c r="L43" i="19"/>
  <c r="L64" i="19"/>
  <c r="L63" i="19"/>
  <c r="E47" i="19"/>
  <c r="E64" i="19"/>
  <c r="E63" i="19"/>
  <c r="I31" i="19"/>
  <c r="I64" i="19"/>
  <c r="I63" i="19"/>
  <c r="B60" i="19"/>
  <c r="B64" i="19"/>
  <c r="B63" i="19"/>
  <c r="R55" i="19"/>
  <c r="R64" i="19"/>
  <c r="R63" i="19"/>
  <c r="T55" i="19"/>
  <c r="T63" i="19"/>
  <c r="K56" i="19"/>
  <c r="K64" i="19"/>
  <c r="K63" i="19"/>
  <c r="R48" i="19"/>
  <c r="R36" i="19"/>
  <c r="R59" i="19"/>
  <c r="T59" i="19"/>
  <c r="T47" i="19"/>
  <c r="L44" i="19"/>
  <c r="L47" i="19"/>
  <c r="E39" i="19"/>
  <c r="I36" i="19"/>
  <c r="I44" i="19"/>
  <c r="I60" i="19"/>
  <c r="I43" i="19"/>
  <c r="I48" i="19"/>
  <c r="T39" i="19"/>
  <c r="I47" i="19"/>
  <c r="R40" i="19"/>
  <c r="T43" i="19"/>
  <c r="I59" i="19"/>
  <c r="R52" i="19"/>
  <c r="T31" i="19"/>
  <c r="I56" i="19"/>
  <c r="R56" i="19"/>
  <c r="B55" i="19"/>
  <c r="R28" i="19"/>
  <c r="B35" i="19"/>
  <c r="R35" i="19"/>
  <c r="B39" i="19"/>
  <c r="R51" i="19"/>
  <c r="K48" i="19"/>
  <c r="B36" i="19"/>
  <c r="R31" i="19"/>
  <c r="K43" i="19"/>
  <c r="B52" i="19"/>
  <c r="R44" i="19"/>
  <c r="K44" i="19"/>
  <c r="R60" i="19"/>
  <c r="E51" i="19"/>
  <c r="E59" i="19"/>
  <c r="I55" i="19"/>
  <c r="E36" i="19"/>
  <c r="I51" i="19"/>
  <c r="E28" i="19"/>
  <c r="B51" i="19"/>
  <c r="R32" i="19"/>
  <c r="E44" i="19"/>
  <c r="B28" i="19"/>
  <c r="R39" i="19"/>
  <c r="T35" i="19"/>
  <c r="E60" i="19"/>
  <c r="B48" i="19"/>
  <c r="R43" i="19"/>
  <c r="T51" i="19"/>
  <c r="E40" i="19"/>
  <c r="B43" i="19"/>
  <c r="E35" i="19"/>
  <c r="B40" i="19"/>
  <c r="L60" i="19"/>
  <c r="L28" i="19"/>
  <c r="E55" i="19"/>
  <c r="L51" i="19"/>
  <c r="K59" i="19"/>
  <c r="L52" i="19"/>
  <c r="K51" i="19"/>
  <c r="K52" i="19"/>
  <c r="L39" i="19"/>
  <c r="K28" i="19"/>
  <c r="L36" i="19"/>
  <c r="L40" i="19"/>
  <c r="K39" i="19"/>
  <c r="E43" i="19"/>
  <c r="I39" i="19"/>
  <c r="B31" i="19"/>
  <c r="L35" i="19"/>
  <c r="K35" i="19"/>
  <c r="K40" i="19"/>
  <c r="E31" i="19"/>
  <c r="I52" i="19"/>
  <c r="B56" i="19"/>
  <c r="L32" i="19"/>
  <c r="K32" i="19"/>
  <c r="E52" i="19"/>
  <c r="E56" i="19"/>
  <c r="I28" i="19"/>
  <c r="B44" i="19"/>
  <c r="L55" i="19"/>
  <c r="K55" i="19"/>
  <c r="E48" i="19"/>
  <c r="I35" i="19"/>
  <c r="I40" i="19"/>
  <c r="B32" i="19"/>
  <c r="L31" i="19"/>
  <c r="K31" i="19"/>
  <c r="E32" i="19"/>
  <c r="I32" i="19"/>
  <c r="B47" i="19"/>
  <c r="B59" i="19"/>
  <c r="L48" i="19"/>
  <c r="K36" i="19"/>
  <c r="L56" i="19"/>
  <c r="K47" i="19"/>
  <c r="L59" i="19"/>
  <c r="K60" i="19"/>
  <c r="O27" i="19"/>
  <c r="I28" i="17"/>
  <c r="I43" i="17"/>
  <c r="I39" i="17"/>
  <c r="I36" i="17"/>
  <c r="I52" i="17"/>
  <c r="I51" i="17"/>
  <c r="I32" i="17"/>
  <c r="I44" i="17"/>
  <c r="I47" i="17"/>
  <c r="I35" i="17"/>
  <c r="I55" i="17"/>
  <c r="I40" i="17"/>
  <c r="I56" i="17"/>
  <c r="I31" i="17"/>
  <c r="I60" i="18"/>
  <c r="I59" i="18"/>
  <c r="I55" i="18"/>
  <c r="I36" i="18"/>
  <c r="I32" i="18"/>
  <c r="I48" i="18"/>
  <c r="I35" i="18"/>
  <c r="I47" i="18"/>
  <c r="I40" i="18"/>
  <c r="I28" i="18"/>
  <c r="I51" i="18"/>
  <c r="I52" i="18"/>
  <c r="I39" i="18"/>
  <c r="I44" i="18"/>
  <c r="I31" i="18"/>
  <c r="I56" i="18"/>
  <c r="I43" i="18"/>
  <c r="J38" i="16"/>
  <c r="E38" i="16"/>
  <c r="BM15" i="16"/>
  <c r="BM10" i="16"/>
  <c r="AV10" i="16"/>
  <c r="AE10" i="16"/>
  <c r="N10" i="16"/>
  <c r="D68" i="19" l="1"/>
  <c r="H66" i="19"/>
  <c r="H68" i="19"/>
  <c r="K66" i="19"/>
  <c r="L66" i="19"/>
  <c r="R66" i="19"/>
  <c r="E66" i="19"/>
  <c r="T66" i="19"/>
  <c r="B66" i="19"/>
  <c r="I66" i="19"/>
  <c r="R68" i="19"/>
  <c r="L68" i="19"/>
  <c r="K68" i="19"/>
  <c r="I68" i="19"/>
  <c r="E68" i="19"/>
  <c r="B68" i="19"/>
  <c r="O63" i="19"/>
  <c r="O64" i="19"/>
  <c r="O43" i="19"/>
  <c r="O28" i="19"/>
  <c r="O52" i="19"/>
  <c r="O32" i="19"/>
  <c r="O39" i="19"/>
  <c r="O47" i="19"/>
  <c r="O36" i="19"/>
  <c r="O59" i="19"/>
  <c r="O48" i="19"/>
  <c r="O60" i="19"/>
  <c r="O31" i="19"/>
  <c r="O51" i="19"/>
  <c r="O40" i="19"/>
  <c r="O55" i="19"/>
  <c r="O35" i="19"/>
  <c r="O44" i="19"/>
  <c r="O56" i="19"/>
  <c r="I58" i="17"/>
  <c r="J15" i="18"/>
  <c r="J15" i="17"/>
  <c r="I60" i="17"/>
  <c r="I62" i="18"/>
  <c r="I64" i="18"/>
  <c r="D23" i="18"/>
  <c r="R23" i="18"/>
  <c r="R27" i="18" s="1"/>
  <c r="R28" i="18" s="1"/>
  <c r="B23" i="18"/>
  <c r="M23" i="18"/>
  <c r="M27" i="18" s="1"/>
  <c r="L23" i="18"/>
  <c r="L27" i="18" s="1"/>
  <c r="H23" i="18"/>
  <c r="E23" i="18"/>
  <c r="U64" i="13"/>
  <c r="T64" i="13"/>
  <c r="Q64" i="13"/>
  <c r="U60" i="1"/>
  <c r="T60" i="1"/>
  <c r="Q60" i="1"/>
  <c r="U56" i="10"/>
  <c r="T56" i="10"/>
  <c r="Q56" i="10"/>
  <c r="U52" i="4"/>
  <c r="T52" i="4"/>
  <c r="Q52" i="4"/>
  <c r="U48" i="5"/>
  <c r="T48" i="5"/>
  <c r="Q48" i="5"/>
  <c r="U44" i="6"/>
  <c r="T44" i="6"/>
  <c r="Q44" i="6"/>
  <c r="U40" i="7"/>
  <c r="T40" i="7"/>
  <c r="Q40" i="7"/>
  <c r="T36" i="15"/>
  <c r="Q36" i="15"/>
  <c r="U36" i="15"/>
  <c r="T32" i="9"/>
  <c r="U59" i="13"/>
  <c r="S59" i="13"/>
  <c r="Q59" i="13"/>
  <c r="P59" i="13"/>
  <c r="N59" i="13"/>
  <c r="AA10" i="13"/>
  <c r="AA10" i="1"/>
  <c r="F27" i="9"/>
  <c r="G27" i="9"/>
  <c r="C27" i="9"/>
  <c r="U31" i="15"/>
  <c r="S31" i="15"/>
  <c r="Q31" i="15"/>
  <c r="Q34" i="15" s="1"/>
  <c r="P31" i="15"/>
  <c r="N31" i="15"/>
  <c r="N28" i="15"/>
  <c r="J27" i="15"/>
  <c r="J31" i="15" s="1"/>
  <c r="G27" i="15"/>
  <c r="G31" i="15" s="1"/>
  <c r="F27" i="15"/>
  <c r="F31" i="15" s="1"/>
  <c r="J17" i="15"/>
  <c r="J16" i="15"/>
  <c r="T14" i="15"/>
  <c r="J14" i="15"/>
  <c r="J13" i="15"/>
  <c r="T12" i="15"/>
  <c r="J12" i="15"/>
  <c r="T11" i="15"/>
  <c r="J11" i="15"/>
  <c r="G8" i="15"/>
  <c r="U55" i="13"/>
  <c r="S55" i="13"/>
  <c r="Q55" i="13"/>
  <c r="P55" i="13"/>
  <c r="N55" i="13"/>
  <c r="U51" i="13"/>
  <c r="S51" i="13"/>
  <c r="Q51" i="13"/>
  <c r="P51" i="13"/>
  <c r="N51" i="13"/>
  <c r="U47" i="13"/>
  <c r="S47" i="13"/>
  <c r="Q47" i="13"/>
  <c r="P47" i="13"/>
  <c r="N47" i="13"/>
  <c r="U43" i="13"/>
  <c r="S43" i="13"/>
  <c r="Q43" i="13"/>
  <c r="P43" i="13"/>
  <c r="N43" i="13"/>
  <c r="U39" i="13"/>
  <c r="S39" i="13"/>
  <c r="Q39" i="13"/>
  <c r="P39" i="13"/>
  <c r="N39" i="13"/>
  <c r="U35" i="13"/>
  <c r="S35" i="13"/>
  <c r="Q35" i="13"/>
  <c r="P35" i="13"/>
  <c r="N35" i="13"/>
  <c r="U31" i="13"/>
  <c r="S31" i="13"/>
  <c r="Q31" i="13"/>
  <c r="P31" i="13"/>
  <c r="N31" i="13"/>
  <c r="N28" i="13"/>
  <c r="N64" i="13" s="1"/>
  <c r="J27" i="13"/>
  <c r="J43" i="13" s="1"/>
  <c r="G27" i="13"/>
  <c r="G43" i="13" s="1"/>
  <c r="F27" i="13"/>
  <c r="F31" i="13" s="1"/>
  <c r="C27" i="13"/>
  <c r="J17" i="13"/>
  <c r="J16" i="13"/>
  <c r="T14" i="13"/>
  <c r="J14" i="13"/>
  <c r="J13" i="13"/>
  <c r="T12" i="13"/>
  <c r="W12" i="13" s="1"/>
  <c r="BE41" i="16" s="1"/>
  <c r="J12" i="13"/>
  <c r="T11" i="13"/>
  <c r="J11" i="13"/>
  <c r="G8" i="13"/>
  <c r="O66" i="19" l="1"/>
  <c r="O68" i="19"/>
  <c r="D26" i="17"/>
  <c r="D38" i="17" s="1"/>
  <c r="D26" i="18"/>
  <c r="L39" i="18"/>
  <c r="L44" i="18"/>
  <c r="L28" i="18"/>
  <c r="L43" i="18"/>
  <c r="L52" i="18"/>
  <c r="L36" i="18"/>
  <c r="L51" i="18"/>
  <c r="L47" i="18"/>
  <c r="L40" i="18"/>
  <c r="L35" i="18"/>
  <c r="L56" i="18"/>
  <c r="L60" i="18"/>
  <c r="L59" i="18"/>
  <c r="L48" i="18"/>
  <c r="L55" i="18"/>
  <c r="L32" i="18"/>
  <c r="L31" i="18"/>
  <c r="E26" i="17"/>
  <c r="E34" i="17" s="1"/>
  <c r="E26" i="18"/>
  <c r="O23" i="17"/>
  <c r="O23" i="18"/>
  <c r="R36" i="18"/>
  <c r="R52" i="18"/>
  <c r="R32" i="18"/>
  <c r="R43" i="18"/>
  <c r="R40" i="18"/>
  <c r="R48" i="18"/>
  <c r="R56" i="18"/>
  <c r="R51" i="18"/>
  <c r="R35" i="18"/>
  <c r="R31" i="18"/>
  <c r="R39" i="18"/>
  <c r="R47" i="18"/>
  <c r="R44" i="18"/>
  <c r="R60" i="18"/>
  <c r="R55" i="18"/>
  <c r="R59" i="18"/>
  <c r="B26" i="17"/>
  <c r="B50" i="17" s="1"/>
  <c r="B26" i="18"/>
  <c r="H26" i="17"/>
  <c r="H34" i="17" s="1"/>
  <c r="H26" i="18"/>
  <c r="M36" i="18"/>
  <c r="M43" i="18"/>
  <c r="M28" i="18"/>
  <c r="M55" i="18"/>
  <c r="M48" i="18"/>
  <c r="M59" i="18"/>
  <c r="M31" i="18"/>
  <c r="M56" i="18"/>
  <c r="M40" i="18"/>
  <c r="M35" i="18"/>
  <c r="M52" i="18"/>
  <c r="M39" i="18"/>
  <c r="M47" i="18"/>
  <c r="M32" i="18"/>
  <c r="M60" i="18"/>
  <c r="M44" i="18"/>
  <c r="M51" i="18"/>
  <c r="E25" i="17"/>
  <c r="E45" i="17" s="1"/>
  <c r="E25" i="18"/>
  <c r="B25" i="17"/>
  <c r="B41" i="17" s="1"/>
  <c r="B25" i="18"/>
  <c r="D25" i="17"/>
  <c r="D37" i="17" s="1"/>
  <c r="D25" i="18"/>
  <c r="K23" i="17"/>
  <c r="K27" i="17" s="1"/>
  <c r="K40" i="17" s="1"/>
  <c r="K23" i="18"/>
  <c r="K27" i="18" s="1"/>
  <c r="H25" i="17"/>
  <c r="H37" i="17" s="1"/>
  <c r="H25" i="18"/>
  <c r="T23" i="9"/>
  <c r="T23" i="18"/>
  <c r="T27" i="18" s="1"/>
  <c r="Z55" i="16"/>
  <c r="H23" i="17"/>
  <c r="Z58" i="16"/>
  <c r="L23" i="17"/>
  <c r="L27" i="17" s="1"/>
  <c r="Z61" i="16"/>
  <c r="AH61" i="16" s="1"/>
  <c r="R23" i="17"/>
  <c r="R27" i="17" s="1"/>
  <c r="R56" i="17" s="1"/>
  <c r="Z54" i="16"/>
  <c r="E23" i="17"/>
  <c r="Z59" i="16"/>
  <c r="M23" i="17"/>
  <c r="M27" i="17" s="1"/>
  <c r="Z52" i="16"/>
  <c r="B23" i="17"/>
  <c r="Z53" i="16"/>
  <c r="D23" i="17"/>
  <c r="Z62" i="16"/>
  <c r="T23" i="17"/>
  <c r="T27" i="17" s="1"/>
  <c r="Q62" i="13"/>
  <c r="Z57" i="16"/>
  <c r="Z49" i="16"/>
  <c r="Y49" i="16"/>
  <c r="BG46" i="16"/>
  <c r="J35" i="13"/>
  <c r="G55" i="13"/>
  <c r="G31" i="13"/>
  <c r="F51" i="13"/>
  <c r="J55" i="13"/>
  <c r="F47" i="13"/>
  <c r="G51" i="13"/>
  <c r="J59" i="13"/>
  <c r="G47" i="13"/>
  <c r="F39" i="13"/>
  <c r="F59" i="13"/>
  <c r="F35" i="13"/>
  <c r="G39" i="13"/>
  <c r="T16" i="13"/>
  <c r="G59" i="13"/>
  <c r="Y10" i="13"/>
  <c r="Z10" i="13" s="1"/>
  <c r="W9" i="13" s="1"/>
  <c r="G10" i="13" s="1"/>
  <c r="T16" i="15"/>
  <c r="J51" i="13"/>
  <c r="G35" i="13"/>
  <c r="J39" i="13"/>
  <c r="F55" i="13"/>
  <c r="J31" i="13"/>
  <c r="F43" i="13"/>
  <c r="J47" i="13"/>
  <c r="U55" i="1"/>
  <c r="S55" i="1"/>
  <c r="Q55" i="1"/>
  <c r="P55" i="1"/>
  <c r="N55" i="1"/>
  <c r="U51" i="1"/>
  <c r="S51" i="1"/>
  <c r="Q51" i="1"/>
  <c r="P51" i="1"/>
  <c r="N51" i="1"/>
  <c r="U47" i="1"/>
  <c r="S47" i="1"/>
  <c r="Q47" i="1"/>
  <c r="P47" i="1"/>
  <c r="N47" i="1"/>
  <c r="U43" i="1"/>
  <c r="S43" i="1"/>
  <c r="Q43" i="1"/>
  <c r="P43" i="1"/>
  <c r="N43" i="1"/>
  <c r="U39" i="1"/>
  <c r="S39" i="1"/>
  <c r="Q39" i="1"/>
  <c r="P39" i="1"/>
  <c r="N39" i="1"/>
  <c r="U35" i="1"/>
  <c r="S35" i="1"/>
  <c r="Q35" i="1"/>
  <c r="P35" i="1"/>
  <c r="N35" i="1"/>
  <c r="U31" i="1"/>
  <c r="S31" i="1"/>
  <c r="Q31" i="1"/>
  <c r="P31" i="1"/>
  <c r="N31" i="1"/>
  <c r="N28" i="1"/>
  <c r="N60" i="1" s="1"/>
  <c r="J27" i="1"/>
  <c r="J51" i="1" s="1"/>
  <c r="G27" i="1"/>
  <c r="G47" i="1" s="1"/>
  <c r="F27" i="1"/>
  <c r="F35" i="1" s="1"/>
  <c r="C27" i="1"/>
  <c r="J17" i="1"/>
  <c r="J16" i="1"/>
  <c r="T14" i="1"/>
  <c r="J14" i="1"/>
  <c r="J13" i="1"/>
  <c r="T12" i="1"/>
  <c r="T16" i="1" s="1"/>
  <c r="J12" i="1"/>
  <c r="T11" i="1"/>
  <c r="J11" i="1"/>
  <c r="G8" i="1"/>
  <c r="U51" i="10"/>
  <c r="S51" i="10"/>
  <c r="Q51" i="10"/>
  <c r="P51" i="10"/>
  <c r="N51" i="10"/>
  <c r="U47" i="10"/>
  <c r="S47" i="10"/>
  <c r="Q47" i="10"/>
  <c r="P47" i="10"/>
  <c r="N47" i="10"/>
  <c r="U43" i="10"/>
  <c r="S43" i="10"/>
  <c r="Q43" i="10"/>
  <c r="P43" i="10"/>
  <c r="N43" i="10"/>
  <c r="U39" i="10"/>
  <c r="S39" i="10"/>
  <c r="Q39" i="10"/>
  <c r="P39" i="10"/>
  <c r="N39" i="10"/>
  <c r="U35" i="10"/>
  <c r="S35" i="10"/>
  <c r="Q35" i="10"/>
  <c r="P35" i="10"/>
  <c r="N35" i="10"/>
  <c r="U31" i="10"/>
  <c r="S31" i="10"/>
  <c r="Q31" i="10"/>
  <c r="P31" i="10"/>
  <c r="N31" i="10"/>
  <c r="N28" i="10"/>
  <c r="N56" i="10" s="1"/>
  <c r="J27" i="10"/>
  <c r="J39" i="10" s="1"/>
  <c r="G27" i="10"/>
  <c r="G43" i="10" s="1"/>
  <c r="F27" i="10"/>
  <c r="C27" i="10"/>
  <c r="J17" i="10"/>
  <c r="J16" i="10"/>
  <c r="T14" i="10"/>
  <c r="J14" i="10"/>
  <c r="J13" i="10"/>
  <c r="T12" i="10"/>
  <c r="J12" i="10"/>
  <c r="T11" i="10"/>
  <c r="J11" i="10"/>
  <c r="G8" i="10"/>
  <c r="U47" i="4"/>
  <c r="S47" i="4"/>
  <c r="Q47" i="4"/>
  <c r="P47" i="4"/>
  <c r="N47" i="4"/>
  <c r="U43" i="4"/>
  <c r="S43" i="4"/>
  <c r="Q43" i="4"/>
  <c r="P43" i="4"/>
  <c r="N43" i="4"/>
  <c r="U39" i="4"/>
  <c r="S39" i="4"/>
  <c r="Q39" i="4"/>
  <c r="P39" i="4"/>
  <c r="N39" i="4"/>
  <c r="U35" i="4"/>
  <c r="S35" i="4"/>
  <c r="Q35" i="4"/>
  <c r="P35" i="4"/>
  <c r="N35" i="4"/>
  <c r="U31" i="4"/>
  <c r="S31" i="4"/>
  <c r="Q31" i="4"/>
  <c r="P31" i="4"/>
  <c r="N31" i="4"/>
  <c r="N28" i="4"/>
  <c r="N52" i="4" s="1"/>
  <c r="J27" i="4"/>
  <c r="J35" i="4" s="1"/>
  <c r="G27" i="4"/>
  <c r="G35" i="4" s="1"/>
  <c r="F27" i="4"/>
  <c r="F35" i="4" s="1"/>
  <c r="C27" i="4"/>
  <c r="J17" i="4"/>
  <c r="J16" i="4"/>
  <c r="T14" i="4"/>
  <c r="J14" i="4"/>
  <c r="J13" i="4"/>
  <c r="T12" i="4"/>
  <c r="J12" i="4"/>
  <c r="T11" i="4"/>
  <c r="J11" i="4"/>
  <c r="G8" i="4"/>
  <c r="U43" i="5"/>
  <c r="S43" i="5"/>
  <c r="Q43" i="5"/>
  <c r="P43" i="5"/>
  <c r="N43" i="5"/>
  <c r="U39" i="5"/>
  <c r="S39" i="5"/>
  <c r="Q39" i="5"/>
  <c r="P39" i="5"/>
  <c r="N39" i="5"/>
  <c r="U35" i="5"/>
  <c r="S35" i="5"/>
  <c r="Q35" i="5"/>
  <c r="P35" i="5"/>
  <c r="N35" i="5"/>
  <c r="U31" i="5"/>
  <c r="S31" i="5"/>
  <c r="Q31" i="5"/>
  <c r="P31" i="5"/>
  <c r="N31" i="5"/>
  <c r="N28" i="5"/>
  <c r="N48" i="5" s="1"/>
  <c r="J27" i="5"/>
  <c r="J35" i="5" s="1"/>
  <c r="G27" i="5"/>
  <c r="G43" i="5" s="1"/>
  <c r="F27" i="5"/>
  <c r="C27" i="5"/>
  <c r="J17" i="5"/>
  <c r="J16" i="5"/>
  <c r="T14" i="5"/>
  <c r="J14" i="5"/>
  <c r="J13" i="5"/>
  <c r="T12" i="5"/>
  <c r="J12" i="5"/>
  <c r="T11" i="5"/>
  <c r="J11" i="5"/>
  <c r="G8" i="5"/>
  <c r="U39" i="6"/>
  <c r="S39" i="6"/>
  <c r="Q39" i="6"/>
  <c r="P39" i="6"/>
  <c r="N39" i="6"/>
  <c r="U35" i="6"/>
  <c r="S35" i="6"/>
  <c r="Q35" i="6"/>
  <c r="P35" i="6"/>
  <c r="N35" i="6"/>
  <c r="U31" i="6"/>
  <c r="S31" i="6"/>
  <c r="Q31" i="6"/>
  <c r="P31" i="6"/>
  <c r="N31" i="6"/>
  <c r="N28" i="6"/>
  <c r="N44" i="6" s="1"/>
  <c r="J27" i="6"/>
  <c r="J35" i="6" s="1"/>
  <c r="G27" i="6"/>
  <c r="G31" i="6" s="1"/>
  <c r="F27" i="6"/>
  <c r="C27" i="6"/>
  <c r="J17" i="6"/>
  <c r="J16" i="6"/>
  <c r="T14" i="6"/>
  <c r="J14" i="6"/>
  <c r="J13" i="6"/>
  <c r="T12" i="6"/>
  <c r="J12" i="6"/>
  <c r="T11" i="6"/>
  <c r="J11" i="6"/>
  <c r="G8" i="6"/>
  <c r="U35" i="7"/>
  <c r="S35" i="7"/>
  <c r="Q35" i="7"/>
  <c r="P35" i="7"/>
  <c r="N35" i="7"/>
  <c r="U31" i="7"/>
  <c r="S31" i="7"/>
  <c r="Q31" i="7"/>
  <c r="P31" i="7"/>
  <c r="N31" i="7"/>
  <c r="N28" i="7"/>
  <c r="N40" i="7" s="1"/>
  <c r="J27" i="7"/>
  <c r="J35" i="7" s="1"/>
  <c r="G27" i="7"/>
  <c r="G31" i="7" s="1"/>
  <c r="F27" i="7"/>
  <c r="F35" i="7" s="1"/>
  <c r="C27" i="7"/>
  <c r="J17" i="7"/>
  <c r="J16" i="7"/>
  <c r="T14" i="7"/>
  <c r="J14" i="7"/>
  <c r="J13" i="7"/>
  <c r="T12" i="7"/>
  <c r="J12" i="7"/>
  <c r="T11" i="7"/>
  <c r="J11" i="7"/>
  <c r="G8" i="7"/>
  <c r="Q30" i="9"/>
  <c r="N28" i="9"/>
  <c r="J27" i="9"/>
  <c r="J17" i="9"/>
  <c r="J16" i="9"/>
  <c r="T14" i="9"/>
  <c r="J14" i="9"/>
  <c r="J13" i="9"/>
  <c r="T12" i="9"/>
  <c r="J12" i="9"/>
  <c r="T11" i="9"/>
  <c r="J11" i="9"/>
  <c r="G8" i="9"/>
  <c r="AH57" i="16" l="1"/>
  <c r="AH52" i="16"/>
  <c r="E42" i="17"/>
  <c r="D33" i="17"/>
  <c r="E41" i="17"/>
  <c r="K36" i="17"/>
  <c r="K31" i="17"/>
  <c r="K51" i="17"/>
  <c r="E54" i="17"/>
  <c r="K47" i="17"/>
  <c r="E38" i="17"/>
  <c r="K43" i="17"/>
  <c r="B34" i="17"/>
  <c r="B54" i="17"/>
  <c r="B42" i="17"/>
  <c r="D50" i="17"/>
  <c r="K55" i="17"/>
  <c r="D27" i="17"/>
  <c r="D32" i="17" s="1"/>
  <c r="D46" i="17"/>
  <c r="E29" i="17"/>
  <c r="E49" i="17"/>
  <c r="D53" i="17"/>
  <c r="H41" i="17"/>
  <c r="H49" i="17"/>
  <c r="H42" i="17"/>
  <c r="D29" i="17"/>
  <c r="H38" i="17"/>
  <c r="D45" i="17"/>
  <c r="H46" i="17"/>
  <c r="D49" i="17"/>
  <c r="H50" i="17"/>
  <c r="D41" i="17"/>
  <c r="D34" i="17"/>
  <c r="H30" i="17"/>
  <c r="B38" i="17"/>
  <c r="D30" i="17"/>
  <c r="D42" i="17"/>
  <c r="E27" i="17"/>
  <c r="E28" i="17" s="1"/>
  <c r="B30" i="17"/>
  <c r="D54" i="17"/>
  <c r="B46" i="17"/>
  <c r="H29" i="17"/>
  <c r="H54" i="17"/>
  <c r="M64" i="18"/>
  <c r="E37" i="18"/>
  <c r="E41" i="18"/>
  <c r="E53" i="18"/>
  <c r="E57" i="18"/>
  <c r="E45" i="18"/>
  <c r="E33" i="18"/>
  <c r="E29" i="18"/>
  <c r="E49" i="18"/>
  <c r="L64" i="18"/>
  <c r="B33" i="17"/>
  <c r="H53" i="17"/>
  <c r="K52" i="17"/>
  <c r="K48" i="17"/>
  <c r="E37" i="17"/>
  <c r="B37" i="17"/>
  <c r="E46" i="17"/>
  <c r="K44" i="18"/>
  <c r="K36" i="18"/>
  <c r="K52" i="18"/>
  <c r="K31" i="18"/>
  <c r="K39" i="18"/>
  <c r="K55" i="18"/>
  <c r="K43" i="18"/>
  <c r="K35" i="18"/>
  <c r="K47" i="18"/>
  <c r="K60" i="18"/>
  <c r="K28" i="18"/>
  <c r="K48" i="18"/>
  <c r="K51" i="18"/>
  <c r="K32" i="18"/>
  <c r="K40" i="18"/>
  <c r="K59" i="18"/>
  <c r="K56" i="18"/>
  <c r="M62" i="18"/>
  <c r="E54" i="18"/>
  <c r="E50" i="18"/>
  <c r="E30" i="18"/>
  <c r="E34" i="18"/>
  <c r="E46" i="18"/>
  <c r="E42" i="18"/>
  <c r="E58" i="18"/>
  <c r="E38" i="18"/>
  <c r="E27" i="18"/>
  <c r="B49" i="17"/>
  <c r="H49" i="18"/>
  <c r="H45" i="18"/>
  <c r="H37" i="18"/>
  <c r="H57" i="18"/>
  <c r="H29" i="18"/>
  <c r="H41" i="18"/>
  <c r="H33" i="18"/>
  <c r="H53" i="18"/>
  <c r="B27" i="17"/>
  <c r="B56" i="17" s="1"/>
  <c r="B53" i="17"/>
  <c r="D37" i="18"/>
  <c r="D57" i="18"/>
  <c r="D41" i="18"/>
  <c r="D45" i="18"/>
  <c r="D33" i="18"/>
  <c r="D53" i="18"/>
  <c r="D29" i="18"/>
  <c r="D49" i="18"/>
  <c r="H45" i="17"/>
  <c r="E33" i="17"/>
  <c r="H34" i="18"/>
  <c r="H58" i="18"/>
  <c r="H54" i="18"/>
  <c r="H50" i="18"/>
  <c r="H30" i="18"/>
  <c r="H42" i="18"/>
  <c r="H46" i="18"/>
  <c r="H38" i="18"/>
  <c r="H27" i="18"/>
  <c r="K39" i="17"/>
  <c r="E50" i="17"/>
  <c r="H33" i="17"/>
  <c r="K28" i="17"/>
  <c r="K35" i="17"/>
  <c r="E53" i="17"/>
  <c r="B29" i="17"/>
  <c r="E30" i="17"/>
  <c r="B30" i="18"/>
  <c r="B54" i="18"/>
  <c r="B50" i="18"/>
  <c r="B42" i="18"/>
  <c r="B38" i="18"/>
  <c r="B58" i="18"/>
  <c r="B34" i="18"/>
  <c r="B46" i="18"/>
  <c r="B27" i="18"/>
  <c r="R64" i="18"/>
  <c r="D42" i="18"/>
  <c r="D58" i="18"/>
  <c r="D50" i="18"/>
  <c r="D46" i="18"/>
  <c r="D30" i="18"/>
  <c r="D54" i="18"/>
  <c r="D34" i="18"/>
  <c r="D38" i="18"/>
  <c r="D27" i="18"/>
  <c r="R62" i="18"/>
  <c r="K32" i="17"/>
  <c r="B45" i="17"/>
  <c r="K56" i="17"/>
  <c r="H27" i="17"/>
  <c r="H52" i="17" s="1"/>
  <c r="K44" i="17"/>
  <c r="T59" i="18"/>
  <c r="T51" i="18"/>
  <c r="T31" i="18"/>
  <c r="T55" i="18"/>
  <c r="T43" i="18"/>
  <c r="T35" i="18"/>
  <c r="T47" i="18"/>
  <c r="T39" i="18"/>
  <c r="B45" i="18"/>
  <c r="B37" i="18"/>
  <c r="B41" i="18"/>
  <c r="B57" i="18"/>
  <c r="B53" i="18"/>
  <c r="B49" i="18"/>
  <c r="B33" i="18"/>
  <c r="B29" i="18"/>
  <c r="L62" i="18"/>
  <c r="M52" i="17"/>
  <c r="M43" i="17"/>
  <c r="M51" i="17"/>
  <c r="M40" i="17"/>
  <c r="M39" i="17"/>
  <c r="M36" i="17"/>
  <c r="M28" i="17"/>
  <c r="M35" i="17"/>
  <c r="M32" i="17"/>
  <c r="M48" i="17"/>
  <c r="M31" i="17"/>
  <c r="M47" i="17"/>
  <c r="M44" i="17"/>
  <c r="M56" i="17"/>
  <c r="M55" i="17"/>
  <c r="R35" i="17"/>
  <c r="R47" i="17"/>
  <c r="R40" i="17"/>
  <c r="R28" i="17"/>
  <c r="R44" i="17"/>
  <c r="R48" i="17"/>
  <c r="R39" i="17"/>
  <c r="R52" i="17"/>
  <c r="R36" i="17"/>
  <c r="R31" i="17"/>
  <c r="R43" i="17"/>
  <c r="R51" i="17"/>
  <c r="R32" i="17"/>
  <c r="R55" i="17"/>
  <c r="T55" i="17"/>
  <c r="T47" i="17"/>
  <c r="T51" i="17"/>
  <c r="T43" i="17"/>
  <c r="T31" i="17"/>
  <c r="T35" i="17"/>
  <c r="T39" i="17"/>
  <c r="L44" i="17"/>
  <c r="L39" i="17"/>
  <c r="L35" i="17"/>
  <c r="L40" i="17"/>
  <c r="L51" i="17"/>
  <c r="L47" i="17"/>
  <c r="L43" i="17"/>
  <c r="L52" i="17"/>
  <c r="L48" i="17"/>
  <c r="L31" i="17"/>
  <c r="L32" i="17"/>
  <c r="L28" i="17"/>
  <c r="L36" i="17"/>
  <c r="L56" i="17"/>
  <c r="L55" i="17"/>
  <c r="F31" i="4"/>
  <c r="Q50" i="4"/>
  <c r="G35" i="10"/>
  <c r="G47" i="10"/>
  <c r="G31" i="10"/>
  <c r="J39" i="4"/>
  <c r="R23" i="15"/>
  <c r="R27" i="15" s="1"/>
  <c r="D21" i="6"/>
  <c r="D21" i="15"/>
  <c r="D21" i="13"/>
  <c r="E21" i="9"/>
  <c r="E21" i="15"/>
  <c r="E21" i="13"/>
  <c r="L21" i="7"/>
  <c r="L21" i="15"/>
  <c r="L21" i="13"/>
  <c r="M21" i="9"/>
  <c r="M21" i="13"/>
  <c r="M21" i="15"/>
  <c r="R21" i="15"/>
  <c r="R21" i="13"/>
  <c r="T21" i="9"/>
  <c r="T21" i="15"/>
  <c r="T21" i="13"/>
  <c r="B21" i="15"/>
  <c r="B21" i="13"/>
  <c r="O21" i="15"/>
  <c r="O21" i="13"/>
  <c r="H21" i="6"/>
  <c r="H21" i="15"/>
  <c r="H21" i="13"/>
  <c r="I21" i="15"/>
  <c r="I21" i="13"/>
  <c r="K21" i="15"/>
  <c r="K21" i="13"/>
  <c r="I27" i="13"/>
  <c r="Y10" i="1"/>
  <c r="W12" i="1"/>
  <c r="AX41" i="16" s="1"/>
  <c r="T16" i="10"/>
  <c r="T16" i="4"/>
  <c r="T16" i="5"/>
  <c r="T16" i="6"/>
  <c r="T16" i="7"/>
  <c r="I27" i="15"/>
  <c r="T16" i="9"/>
  <c r="J15" i="13"/>
  <c r="J15" i="15"/>
  <c r="G39" i="5"/>
  <c r="J47" i="1"/>
  <c r="G39" i="6"/>
  <c r="F47" i="4"/>
  <c r="G39" i="10"/>
  <c r="F31" i="7"/>
  <c r="J39" i="6"/>
  <c r="G31" i="5"/>
  <c r="J47" i="4"/>
  <c r="F31" i="1"/>
  <c r="J31" i="7"/>
  <c r="G35" i="6"/>
  <c r="J31" i="1"/>
  <c r="Q58" i="1"/>
  <c r="Q38" i="7"/>
  <c r="Q42" i="6"/>
  <c r="D21" i="9"/>
  <c r="E21" i="7"/>
  <c r="L21" i="5"/>
  <c r="H21" i="10"/>
  <c r="R21" i="1"/>
  <c r="R21" i="4"/>
  <c r="R21" i="10"/>
  <c r="R21" i="5"/>
  <c r="R21" i="7"/>
  <c r="M21" i="10"/>
  <c r="B21" i="1"/>
  <c r="B21" i="5"/>
  <c r="B21" i="10"/>
  <c r="B21" i="4"/>
  <c r="B21" i="6"/>
  <c r="E21" i="10"/>
  <c r="E21" i="1"/>
  <c r="E21" i="5"/>
  <c r="E21" i="6"/>
  <c r="I21" i="1"/>
  <c r="I21" i="10"/>
  <c r="I21" i="4"/>
  <c r="I21" i="6"/>
  <c r="I21" i="7"/>
  <c r="H21" i="9"/>
  <c r="O21" i="7"/>
  <c r="G39" i="4"/>
  <c r="G47" i="4"/>
  <c r="G43" i="4"/>
  <c r="G31" i="4"/>
  <c r="K21" i="1"/>
  <c r="K21" i="10"/>
  <c r="K21" i="5"/>
  <c r="K21" i="7"/>
  <c r="K21" i="6"/>
  <c r="T21" i="10"/>
  <c r="T21" i="1"/>
  <c r="T21" i="5"/>
  <c r="T21" i="6"/>
  <c r="T21" i="4"/>
  <c r="J15" i="9"/>
  <c r="I21" i="9"/>
  <c r="T21" i="7"/>
  <c r="F39" i="6"/>
  <c r="F31" i="6"/>
  <c r="F35" i="6"/>
  <c r="E21" i="4"/>
  <c r="K21" i="9"/>
  <c r="R21" i="6"/>
  <c r="K21" i="4"/>
  <c r="D21" i="1"/>
  <c r="D21" i="4"/>
  <c r="D21" i="10"/>
  <c r="D21" i="7"/>
  <c r="D21" i="5"/>
  <c r="H21" i="1"/>
  <c r="H21" i="7"/>
  <c r="H21" i="4"/>
  <c r="H21" i="5"/>
  <c r="L21" i="1"/>
  <c r="L21" i="10"/>
  <c r="L21" i="4"/>
  <c r="L21" i="6"/>
  <c r="O21" i="1"/>
  <c r="O21" i="5"/>
  <c r="O21" i="10"/>
  <c r="O21" i="4"/>
  <c r="O21" i="9"/>
  <c r="O21" i="6"/>
  <c r="L21" i="9"/>
  <c r="G35" i="7"/>
  <c r="F31" i="5"/>
  <c r="F35" i="5"/>
  <c r="F43" i="5"/>
  <c r="F39" i="5"/>
  <c r="J15" i="1"/>
  <c r="J15" i="4"/>
  <c r="J15" i="5"/>
  <c r="J15" i="6"/>
  <c r="J15" i="10"/>
  <c r="J15" i="7"/>
  <c r="M21" i="1"/>
  <c r="M21" i="4"/>
  <c r="M21" i="5"/>
  <c r="M21" i="7"/>
  <c r="M21" i="6"/>
  <c r="B21" i="9"/>
  <c r="R21" i="9"/>
  <c r="B21" i="7"/>
  <c r="I21" i="5"/>
  <c r="Q46" i="5"/>
  <c r="J31" i="6"/>
  <c r="J43" i="4"/>
  <c r="J31" i="4"/>
  <c r="J39" i="5"/>
  <c r="J43" i="5"/>
  <c r="J31" i="5"/>
  <c r="F39" i="4"/>
  <c r="F43" i="4"/>
  <c r="J47" i="10"/>
  <c r="J31" i="10"/>
  <c r="J43" i="10"/>
  <c r="J35" i="10"/>
  <c r="Q54" i="10"/>
  <c r="G35" i="5"/>
  <c r="F31" i="10"/>
  <c r="F43" i="10"/>
  <c r="F47" i="10"/>
  <c r="F39" i="10"/>
  <c r="F51" i="10"/>
  <c r="F35" i="10"/>
  <c r="J51" i="10"/>
  <c r="G35" i="1"/>
  <c r="J39" i="1"/>
  <c r="F55" i="1"/>
  <c r="G51" i="10"/>
  <c r="F43" i="1"/>
  <c r="G55" i="1"/>
  <c r="G43" i="1"/>
  <c r="G31" i="1"/>
  <c r="J35" i="1"/>
  <c r="F51" i="1"/>
  <c r="F39" i="1"/>
  <c r="G51" i="1"/>
  <c r="J55" i="1"/>
  <c r="G39" i="1"/>
  <c r="J43" i="1"/>
  <c r="F47" i="1"/>
  <c r="E35" i="17" l="1"/>
  <c r="D39" i="17"/>
  <c r="E43" i="17"/>
  <c r="D55" i="17"/>
  <c r="E40" i="17"/>
  <c r="E32" i="17"/>
  <c r="E56" i="17"/>
  <c r="D52" i="17"/>
  <c r="H43" i="17"/>
  <c r="D31" i="17"/>
  <c r="D51" i="17"/>
  <c r="D40" i="17"/>
  <c r="H44" i="17"/>
  <c r="D43" i="17"/>
  <c r="D47" i="17"/>
  <c r="D36" i="17"/>
  <c r="D56" i="17"/>
  <c r="D48" i="17"/>
  <c r="D44" i="17"/>
  <c r="D28" i="17"/>
  <c r="D35" i="17"/>
  <c r="H28" i="17"/>
  <c r="H32" i="17"/>
  <c r="H40" i="17"/>
  <c r="B31" i="17"/>
  <c r="H36" i="17"/>
  <c r="H31" i="17"/>
  <c r="E55" i="17"/>
  <c r="E47" i="17"/>
  <c r="E39" i="17"/>
  <c r="E48" i="17"/>
  <c r="H51" i="17"/>
  <c r="E51" i="17"/>
  <c r="E31" i="17"/>
  <c r="H39" i="17"/>
  <c r="K58" i="17"/>
  <c r="E44" i="17"/>
  <c r="E52" i="17"/>
  <c r="E36" i="17"/>
  <c r="H48" i="17"/>
  <c r="H56" i="17"/>
  <c r="B48" i="17"/>
  <c r="B36" i="17"/>
  <c r="B32" i="17"/>
  <c r="H55" i="17"/>
  <c r="H35" i="17"/>
  <c r="B39" i="17"/>
  <c r="B55" i="17"/>
  <c r="K60" i="17"/>
  <c r="K62" i="18"/>
  <c r="B43" i="17"/>
  <c r="B47" i="17"/>
  <c r="T62" i="18"/>
  <c r="D60" i="18"/>
  <c r="D55" i="18"/>
  <c r="D32" i="18"/>
  <c r="D48" i="18"/>
  <c r="D59" i="18"/>
  <c r="D44" i="18"/>
  <c r="D43" i="18"/>
  <c r="D40" i="18"/>
  <c r="D28" i="18"/>
  <c r="D36" i="18"/>
  <c r="D31" i="18"/>
  <c r="D56" i="18"/>
  <c r="D51" i="18"/>
  <c r="D39" i="18"/>
  <c r="D35" i="18"/>
  <c r="D52" i="18"/>
  <c r="D47" i="18"/>
  <c r="B40" i="17"/>
  <c r="B52" i="17"/>
  <c r="E44" i="18"/>
  <c r="E35" i="18"/>
  <c r="E28" i="18"/>
  <c r="E60" i="18"/>
  <c r="E40" i="18"/>
  <c r="E48" i="18"/>
  <c r="E32" i="18"/>
  <c r="E55" i="18"/>
  <c r="E51" i="18"/>
  <c r="E36" i="18"/>
  <c r="E59" i="18"/>
  <c r="E39" i="18"/>
  <c r="E52" i="18"/>
  <c r="E47" i="18"/>
  <c r="E43" i="18"/>
  <c r="E56" i="18"/>
  <c r="E31" i="18"/>
  <c r="K64" i="18"/>
  <c r="B44" i="17"/>
  <c r="B28" i="17"/>
  <c r="B39" i="18"/>
  <c r="B40" i="18"/>
  <c r="B48" i="18"/>
  <c r="B31" i="18"/>
  <c r="B60" i="18"/>
  <c r="B35" i="18"/>
  <c r="B28" i="18"/>
  <c r="B59" i="18"/>
  <c r="B56" i="18"/>
  <c r="B36" i="18"/>
  <c r="B52" i="18"/>
  <c r="B51" i="18"/>
  <c r="B44" i="18"/>
  <c r="B47" i="18"/>
  <c r="B43" i="18"/>
  <c r="B32" i="18"/>
  <c r="B55" i="18"/>
  <c r="B35" i="17"/>
  <c r="B51" i="17"/>
  <c r="O27" i="17"/>
  <c r="H59" i="18"/>
  <c r="H56" i="18"/>
  <c r="H52" i="18"/>
  <c r="H43" i="18"/>
  <c r="H40" i="18"/>
  <c r="H55" i="18"/>
  <c r="H28" i="18"/>
  <c r="H32" i="18"/>
  <c r="H48" i="18"/>
  <c r="H31" i="18"/>
  <c r="H60" i="18"/>
  <c r="H47" i="18"/>
  <c r="H36" i="18"/>
  <c r="H39" i="18"/>
  <c r="H44" i="18"/>
  <c r="H35" i="18"/>
  <c r="H51" i="18"/>
  <c r="H47" i="17"/>
  <c r="O27" i="18"/>
  <c r="R58" i="17"/>
  <c r="M60" i="17"/>
  <c r="L58" i="17"/>
  <c r="T58" i="17"/>
  <c r="R60" i="17"/>
  <c r="L60" i="17"/>
  <c r="M58" i="17"/>
  <c r="R23" i="13"/>
  <c r="R27" i="13" s="1"/>
  <c r="R60" i="13" s="1"/>
  <c r="R23" i="6"/>
  <c r="R27" i="6" s="1"/>
  <c r="R39" i="6" s="1"/>
  <c r="R23" i="5"/>
  <c r="R27" i="5" s="1"/>
  <c r="R40" i="5" s="1"/>
  <c r="R23" i="4"/>
  <c r="R27" i="4" s="1"/>
  <c r="R28" i="4" s="1"/>
  <c r="R23" i="7"/>
  <c r="R27" i="7" s="1"/>
  <c r="R32" i="7" s="1"/>
  <c r="R23" i="10"/>
  <c r="R27" i="10" s="1"/>
  <c r="R40" i="10" s="1"/>
  <c r="R23" i="1"/>
  <c r="R27" i="1" s="1"/>
  <c r="R31" i="1" s="1"/>
  <c r="R23" i="9"/>
  <c r="R27" i="9" s="1"/>
  <c r="R28" i="9" s="1"/>
  <c r="R32" i="9" s="1"/>
  <c r="Z10" i="1"/>
  <c r="W9" i="1" s="1"/>
  <c r="G10" i="1" s="1"/>
  <c r="I60" i="13"/>
  <c r="I59" i="13"/>
  <c r="I44" i="13"/>
  <c r="I47" i="13"/>
  <c r="I55" i="13"/>
  <c r="I40" i="13"/>
  <c r="I43" i="13"/>
  <c r="I56" i="13"/>
  <c r="I35" i="13"/>
  <c r="I31" i="13"/>
  <c r="I39" i="13"/>
  <c r="I52" i="13"/>
  <c r="I32" i="13"/>
  <c r="I28" i="13"/>
  <c r="I51" i="13"/>
  <c r="I48" i="13"/>
  <c r="I36" i="13"/>
  <c r="I27" i="1"/>
  <c r="I27" i="10"/>
  <c r="I27" i="4"/>
  <c r="I27" i="5"/>
  <c r="I27" i="6"/>
  <c r="I27" i="7"/>
  <c r="I31" i="15"/>
  <c r="I34" i="15" s="1"/>
  <c r="I28" i="15"/>
  <c r="I32" i="15"/>
  <c r="I27" i="9"/>
  <c r="O23" i="7"/>
  <c r="O23" i="15"/>
  <c r="O23" i="13"/>
  <c r="B23" i="15"/>
  <c r="B23" i="13"/>
  <c r="K23" i="13"/>
  <c r="K27" i="13" s="1"/>
  <c r="K23" i="15"/>
  <c r="K27" i="15" s="1"/>
  <c r="D25" i="13"/>
  <c r="D57" i="13" s="1"/>
  <c r="D25" i="15"/>
  <c r="D29" i="15" s="1"/>
  <c r="T23" i="13"/>
  <c r="T27" i="13" s="1"/>
  <c r="T59" i="13" s="1"/>
  <c r="T23" i="15"/>
  <c r="E26" i="15"/>
  <c r="E26" i="13"/>
  <c r="D23" i="15"/>
  <c r="D23" i="13"/>
  <c r="B26" i="15"/>
  <c r="B26" i="13"/>
  <c r="M23" i="15"/>
  <c r="M27" i="15" s="1"/>
  <c r="M23" i="13"/>
  <c r="M27" i="13" s="1"/>
  <c r="H26" i="13"/>
  <c r="H26" i="15"/>
  <c r="E25" i="13"/>
  <c r="E57" i="13" s="1"/>
  <c r="E25" i="15"/>
  <c r="E29" i="15" s="1"/>
  <c r="D26" i="15"/>
  <c r="D26" i="13"/>
  <c r="H25" i="15"/>
  <c r="H29" i="15" s="1"/>
  <c r="H25" i="13"/>
  <c r="H57" i="13" s="1"/>
  <c r="H23" i="4"/>
  <c r="H23" i="15"/>
  <c r="H23" i="13"/>
  <c r="B25" i="13"/>
  <c r="B57" i="13" s="1"/>
  <c r="B25" i="15"/>
  <c r="B29" i="15" s="1"/>
  <c r="R32" i="15"/>
  <c r="R31" i="15"/>
  <c r="R34" i="15" s="1"/>
  <c r="R28" i="15"/>
  <c r="E23" i="13"/>
  <c r="E23" i="15"/>
  <c r="L23" i="15"/>
  <c r="L27" i="15" s="1"/>
  <c r="L23" i="13"/>
  <c r="L27" i="13" s="1"/>
  <c r="H23" i="9"/>
  <c r="H25" i="4"/>
  <c r="H33" i="4" s="1"/>
  <c r="H25" i="7"/>
  <c r="H33" i="7" s="1"/>
  <c r="O23" i="4"/>
  <c r="H23" i="7"/>
  <c r="K23" i="5"/>
  <c r="K27" i="5" s="1"/>
  <c r="B25" i="9"/>
  <c r="D25" i="9"/>
  <c r="L23" i="7"/>
  <c r="L27" i="7" s="1"/>
  <c r="T23" i="5"/>
  <c r="T27" i="5" s="1"/>
  <c r="E26" i="6"/>
  <c r="E34" i="6" s="1"/>
  <c r="H25" i="1"/>
  <c r="H33" i="1" s="1"/>
  <c r="D23" i="9"/>
  <c r="B26" i="6"/>
  <c r="B38" i="6" s="1"/>
  <c r="H25" i="9"/>
  <c r="E25" i="10"/>
  <c r="E33" i="10" s="1"/>
  <c r="B26" i="10"/>
  <c r="B34" i="10" s="1"/>
  <c r="H25" i="5"/>
  <c r="H33" i="5" s="1"/>
  <c r="O23" i="9"/>
  <c r="O23" i="1"/>
  <c r="B26" i="1"/>
  <c r="B46" i="1" s="1"/>
  <c r="O23" i="10"/>
  <c r="O23" i="5"/>
  <c r="H23" i="1"/>
  <c r="H23" i="6"/>
  <c r="B26" i="9"/>
  <c r="H23" i="5"/>
  <c r="O23" i="6"/>
  <c r="H23" i="10"/>
  <c r="H25" i="6"/>
  <c r="H37" i="6" s="1"/>
  <c r="K23" i="10"/>
  <c r="K27" i="10" s="1"/>
  <c r="B25" i="1"/>
  <c r="B53" i="1" s="1"/>
  <c r="K23" i="4"/>
  <c r="K27" i="4" s="1"/>
  <c r="B25" i="5"/>
  <c r="B37" i="5" s="1"/>
  <c r="B25" i="10"/>
  <c r="B29" i="10" s="1"/>
  <c r="H25" i="10"/>
  <c r="H37" i="10" s="1"/>
  <c r="D25" i="6"/>
  <c r="D37" i="6" s="1"/>
  <c r="E25" i="9"/>
  <c r="D23" i="1"/>
  <c r="D23" i="10"/>
  <c r="B26" i="5"/>
  <c r="B30" i="5" s="1"/>
  <c r="B26" i="7"/>
  <c r="B30" i="7" s="1"/>
  <c r="B26" i="4"/>
  <c r="B42" i="4" s="1"/>
  <c r="K23" i="1"/>
  <c r="T23" i="6"/>
  <c r="T27" i="6" s="1"/>
  <c r="E26" i="5"/>
  <c r="E34" i="5" s="1"/>
  <c r="T27" i="9"/>
  <c r="E26" i="7"/>
  <c r="E34" i="7" s="1"/>
  <c r="L23" i="4"/>
  <c r="L27" i="4" s="1"/>
  <c r="D23" i="7"/>
  <c r="K23" i="9"/>
  <c r="K27" i="9" s="1"/>
  <c r="K23" i="7"/>
  <c r="K27" i="7" s="1"/>
  <c r="E26" i="1"/>
  <c r="E54" i="1" s="1"/>
  <c r="B25" i="7"/>
  <c r="B29" i="7" s="1"/>
  <c r="E25" i="4"/>
  <c r="E29" i="4" s="1"/>
  <c r="L23" i="6"/>
  <c r="L27" i="6" s="1"/>
  <c r="K23" i="6"/>
  <c r="K27" i="6" s="1"/>
  <c r="B25" i="6"/>
  <c r="B29" i="6" s="1"/>
  <c r="E26" i="9"/>
  <c r="B25" i="4"/>
  <c r="B41" i="4" s="1"/>
  <c r="L23" i="10"/>
  <c r="L27" i="10" s="1"/>
  <c r="D23" i="5"/>
  <c r="D25" i="10"/>
  <c r="D29" i="10" s="1"/>
  <c r="L23" i="9"/>
  <c r="L27" i="9" s="1"/>
  <c r="E25" i="1"/>
  <c r="E45" i="1" s="1"/>
  <c r="D25" i="1"/>
  <c r="D41" i="1" s="1"/>
  <c r="L23" i="5"/>
  <c r="L27" i="5" s="1"/>
  <c r="T23" i="7"/>
  <c r="T27" i="7" s="1"/>
  <c r="E26" i="10"/>
  <c r="E50" i="10" s="1"/>
  <c r="T23" i="4"/>
  <c r="T27" i="4" s="1"/>
  <c r="L23" i="1"/>
  <c r="L27" i="1" s="1"/>
  <c r="D23" i="6"/>
  <c r="T23" i="10"/>
  <c r="T27" i="10" s="1"/>
  <c r="E25" i="7"/>
  <c r="E29" i="7" s="1"/>
  <c r="E25" i="6"/>
  <c r="E29" i="6" s="1"/>
  <c r="D25" i="5"/>
  <c r="D37" i="5" s="1"/>
  <c r="D23" i="4"/>
  <c r="T23" i="1"/>
  <c r="T27" i="1" s="1"/>
  <c r="E26" i="4"/>
  <c r="E30" i="4" s="1"/>
  <c r="E25" i="5"/>
  <c r="E37" i="5" s="1"/>
  <c r="D25" i="7"/>
  <c r="D33" i="7" s="1"/>
  <c r="D25" i="4"/>
  <c r="D37" i="4" s="1"/>
  <c r="E23" i="1"/>
  <c r="E23" i="10"/>
  <c r="E23" i="4"/>
  <c r="E23" i="5"/>
  <c r="E23" i="7"/>
  <c r="E23" i="6"/>
  <c r="E23" i="9"/>
  <c r="B23" i="1"/>
  <c r="B23" i="10"/>
  <c r="B23" i="7"/>
  <c r="B23" i="4"/>
  <c r="B23" i="5"/>
  <c r="B23" i="6"/>
  <c r="B23" i="9"/>
  <c r="M23" i="1"/>
  <c r="M27" i="1" s="1"/>
  <c r="M23" i="4"/>
  <c r="M27" i="4" s="1"/>
  <c r="M23" i="7"/>
  <c r="M27" i="7" s="1"/>
  <c r="M23" i="10"/>
  <c r="M27" i="10" s="1"/>
  <c r="M23" i="6"/>
  <c r="M27" i="6" s="1"/>
  <c r="M23" i="9"/>
  <c r="M27" i="9" s="1"/>
  <c r="M23" i="5"/>
  <c r="M27" i="5" s="1"/>
  <c r="H26" i="1"/>
  <c r="H26" i="4"/>
  <c r="H26" i="6"/>
  <c r="H26" i="5"/>
  <c r="H26" i="10"/>
  <c r="H26" i="7"/>
  <c r="H26" i="9"/>
  <c r="D26" i="10"/>
  <c r="D26" i="1"/>
  <c r="D26" i="5"/>
  <c r="D26" i="6"/>
  <c r="D26" i="4"/>
  <c r="D26" i="9"/>
  <c r="D26" i="7"/>
  <c r="O55" i="17" l="1"/>
  <c r="O40" i="17"/>
  <c r="O36" i="17"/>
  <c r="O56" i="17"/>
  <c r="O32" i="17"/>
  <c r="O48" i="17"/>
  <c r="O28" i="17"/>
  <c r="O52" i="17"/>
  <c r="O44" i="17"/>
  <c r="O44" i="18"/>
  <c r="O40" i="18"/>
  <c r="O36" i="18"/>
  <c r="O60" i="18"/>
  <c r="O56" i="18"/>
  <c r="O32" i="18"/>
  <c r="O28" i="18"/>
  <c r="O52" i="18"/>
  <c r="O48" i="18"/>
  <c r="D58" i="17"/>
  <c r="D60" i="17"/>
  <c r="B62" i="18"/>
  <c r="H60" i="17"/>
  <c r="E58" i="17"/>
  <c r="B58" i="17"/>
  <c r="E60" i="17"/>
  <c r="H58" i="17"/>
  <c r="O43" i="17"/>
  <c r="B64" i="18"/>
  <c r="B60" i="17"/>
  <c r="O31" i="17"/>
  <c r="O47" i="17"/>
  <c r="O39" i="17"/>
  <c r="E64" i="18"/>
  <c r="D64" i="18"/>
  <c r="O39" i="18"/>
  <c r="O35" i="18"/>
  <c r="O51" i="18"/>
  <c r="O59" i="18"/>
  <c r="O47" i="18"/>
  <c r="O55" i="18"/>
  <c r="O43" i="18"/>
  <c r="O31" i="18"/>
  <c r="H64" i="18"/>
  <c r="O51" i="17"/>
  <c r="D62" i="18"/>
  <c r="O35" i="17"/>
  <c r="H62" i="18"/>
  <c r="E62" i="18"/>
  <c r="R56" i="13"/>
  <c r="R48" i="13"/>
  <c r="R35" i="13"/>
  <c r="R55" i="13"/>
  <c r="R44" i="13"/>
  <c r="R43" i="13"/>
  <c r="R51" i="13"/>
  <c r="R52" i="13"/>
  <c r="R47" i="13"/>
  <c r="R40" i="13"/>
  <c r="R36" i="13"/>
  <c r="R28" i="13"/>
  <c r="R32" i="13"/>
  <c r="R59" i="13"/>
  <c r="R31" i="13"/>
  <c r="R39" i="13"/>
  <c r="I62" i="13"/>
  <c r="R44" i="1"/>
  <c r="R43" i="10"/>
  <c r="H27" i="9"/>
  <c r="H28" i="9" s="1"/>
  <c r="H32" i="9" s="1"/>
  <c r="H27" i="4"/>
  <c r="H27" i="1"/>
  <c r="D27" i="4"/>
  <c r="H27" i="5"/>
  <c r="H27" i="10"/>
  <c r="D27" i="9"/>
  <c r="D28" i="9" s="1"/>
  <c r="D32" i="9" s="1"/>
  <c r="H27" i="7"/>
  <c r="E27" i="4"/>
  <c r="E31" i="4" s="1"/>
  <c r="D27" i="6"/>
  <c r="H27" i="6"/>
  <c r="E27" i="6"/>
  <c r="E27" i="9"/>
  <c r="E28" i="9" s="1"/>
  <c r="E32" i="9" s="1"/>
  <c r="D27" i="5"/>
  <c r="B27" i="9"/>
  <c r="D27" i="15"/>
  <c r="D27" i="10"/>
  <c r="B27" i="7"/>
  <c r="B36" i="7" s="1"/>
  <c r="B27" i="5"/>
  <c r="B43" i="5" s="1"/>
  <c r="K27" i="1"/>
  <c r="K56" i="1" s="1"/>
  <c r="R47" i="10"/>
  <c r="L36" i="5"/>
  <c r="E27" i="7"/>
  <c r="E31" i="7" s="1"/>
  <c r="B27" i="10"/>
  <c r="B52" i="10" s="1"/>
  <c r="L40" i="10"/>
  <c r="T27" i="15"/>
  <c r="T31" i="15" s="1"/>
  <c r="T34" i="15" s="1"/>
  <c r="B27" i="15"/>
  <c r="D27" i="1"/>
  <c r="D32" i="1" s="1"/>
  <c r="D27" i="7"/>
  <c r="B27" i="4"/>
  <c r="B35" i="4" s="1"/>
  <c r="E27" i="10"/>
  <c r="E27" i="1"/>
  <c r="E55" i="1" s="1"/>
  <c r="B27" i="1"/>
  <c r="B48" i="1" s="1"/>
  <c r="B27" i="6"/>
  <c r="B36" i="6" s="1"/>
  <c r="E27" i="5"/>
  <c r="E39" i="5" s="1"/>
  <c r="K40" i="10"/>
  <c r="H27" i="15"/>
  <c r="E27" i="15"/>
  <c r="I64" i="13"/>
  <c r="D27" i="13"/>
  <c r="D58" i="13"/>
  <c r="E27" i="13"/>
  <c r="E58" i="13"/>
  <c r="K60" i="13"/>
  <c r="K59" i="13"/>
  <c r="B58" i="13"/>
  <c r="B27" i="13"/>
  <c r="H27" i="13"/>
  <c r="H58" i="13"/>
  <c r="L60" i="13"/>
  <c r="L59" i="13"/>
  <c r="M59" i="13"/>
  <c r="M60" i="13"/>
  <c r="R32" i="1"/>
  <c r="R52" i="1"/>
  <c r="R28" i="1"/>
  <c r="R48" i="1"/>
  <c r="R32" i="10"/>
  <c r="R35" i="10"/>
  <c r="T47" i="1"/>
  <c r="L48" i="1"/>
  <c r="R35" i="1"/>
  <c r="R51" i="1"/>
  <c r="R52" i="10"/>
  <c r="I51" i="1"/>
  <c r="I48" i="1"/>
  <c r="I32" i="1"/>
  <c r="I35" i="1"/>
  <c r="I44" i="1"/>
  <c r="I47" i="1"/>
  <c r="I52" i="1"/>
  <c r="I36" i="1"/>
  <c r="I31" i="1"/>
  <c r="I40" i="1"/>
  <c r="I56" i="1"/>
  <c r="I28" i="1"/>
  <c r="I39" i="1"/>
  <c r="I43" i="1"/>
  <c r="I55" i="1"/>
  <c r="R55" i="1"/>
  <c r="R48" i="10"/>
  <c r="R39" i="10"/>
  <c r="R36" i="1"/>
  <c r="R28" i="10"/>
  <c r="R39" i="1"/>
  <c r="R40" i="1"/>
  <c r="R31" i="10"/>
  <c r="R56" i="1"/>
  <c r="R43" i="1"/>
  <c r="R51" i="10"/>
  <c r="R44" i="10"/>
  <c r="R47" i="1"/>
  <c r="R36" i="10"/>
  <c r="R35" i="4"/>
  <c r="R36" i="4"/>
  <c r="R43" i="4"/>
  <c r="R28" i="5"/>
  <c r="R48" i="4"/>
  <c r="R39" i="5"/>
  <c r="R44" i="5"/>
  <c r="T39" i="10"/>
  <c r="R35" i="5"/>
  <c r="K28" i="4"/>
  <c r="I47" i="10"/>
  <c r="I52" i="10"/>
  <c r="I39" i="10"/>
  <c r="I51" i="10"/>
  <c r="I32" i="10"/>
  <c r="I28" i="10"/>
  <c r="I48" i="10"/>
  <c r="I31" i="10"/>
  <c r="I44" i="10"/>
  <c r="I43" i="10"/>
  <c r="I36" i="10"/>
  <c r="I40" i="10"/>
  <c r="I35" i="10"/>
  <c r="R32" i="4"/>
  <c r="R47" i="4"/>
  <c r="R39" i="4"/>
  <c r="R31" i="4"/>
  <c r="T47" i="4"/>
  <c r="I48" i="4"/>
  <c r="I36" i="4"/>
  <c r="I28" i="4"/>
  <c r="I43" i="4"/>
  <c r="I44" i="4"/>
  <c r="I35" i="4"/>
  <c r="I47" i="4"/>
  <c r="I40" i="4"/>
  <c r="I31" i="4"/>
  <c r="I32" i="4"/>
  <c r="I39" i="4"/>
  <c r="R40" i="4"/>
  <c r="R44" i="4"/>
  <c r="R43" i="5"/>
  <c r="L31" i="4"/>
  <c r="R36" i="5"/>
  <c r="T31" i="5"/>
  <c r="R31" i="5"/>
  <c r="R32" i="5"/>
  <c r="K36" i="6"/>
  <c r="K43" i="5"/>
  <c r="I36" i="5"/>
  <c r="I31" i="5"/>
  <c r="I32" i="5"/>
  <c r="I40" i="5"/>
  <c r="I28" i="5"/>
  <c r="I43" i="5"/>
  <c r="I39" i="5"/>
  <c r="I44" i="5"/>
  <c r="I35" i="5"/>
  <c r="R31" i="6"/>
  <c r="R36" i="6"/>
  <c r="R28" i="6"/>
  <c r="R35" i="6"/>
  <c r="T31" i="6"/>
  <c r="R32" i="6"/>
  <c r="R40" i="6"/>
  <c r="L36" i="6"/>
  <c r="I36" i="6"/>
  <c r="I32" i="6"/>
  <c r="I40" i="6"/>
  <c r="I35" i="6"/>
  <c r="I39" i="6"/>
  <c r="I28" i="6"/>
  <c r="I31" i="6"/>
  <c r="K28" i="7"/>
  <c r="R35" i="7"/>
  <c r="L32" i="7"/>
  <c r="R31" i="7"/>
  <c r="R28" i="7"/>
  <c r="R36" i="7"/>
  <c r="I36" i="7"/>
  <c r="I32" i="7"/>
  <c r="I35" i="7"/>
  <c r="I28" i="7"/>
  <c r="I31" i="7"/>
  <c r="T35" i="7"/>
  <c r="I36" i="15"/>
  <c r="L28" i="9"/>
  <c r="L32" i="9" s="1"/>
  <c r="R30" i="9"/>
  <c r="T30" i="9"/>
  <c r="K30" i="9"/>
  <c r="I28" i="9"/>
  <c r="I32" i="9" s="1"/>
  <c r="I30" i="9"/>
  <c r="L40" i="13"/>
  <c r="L35" i="13"/>
  <c r="L55" i="13"/>
  <c r="L36" i="13"/>
  <c r="L56" i="13"/>
  <c r="L48" i="13"/>
  <c r="L47" i="13"/>
  <c r="L28" i="13"/>
  <c r="L51" i="13"/>
  <c r="L39" i="13"/>
  <c r="L52" i="13"/>
  <c r="L31" i="13"/>
  <c r="L32" i="13"/>
  <c r="L43" i="13"/>
  <c r="L44" i="13"/>
  <c r="D54" i="13"/>
  <c r="D30" i="13"/>
  <c r="D50" i="13"/>
  <c r="D42" i="13"/>
  <c r="D34" i="13"/>
  <c r="D38" i="13"/>
  <c r="D46" i="13"/>
  <c r="B42" i="13"/>
  <c r="B30" i="13"/>
  <c r="B38" i="13"/>
  <c r="B46" i="13"/>
  <c r="B50" i="13"/>
  <c r="B54" i="13"/>
  <c r="B34" i="13"/>
  <c r="R36" i="15"/>
  <c r="B53" i="13"/>
  <c r="B33" i="13"/>
  <c r="B45" i="13"/>
  <c r="B29" i="13"/>
  <c r="B37" i="13"/>
  <c r="B49" i="13"/>
  <c r="B41" i="13"/>
  <c r="M44" i="13"/>
  <c r="M28" i="13"/>
  <c r="M43" i="13"/>
  <c r="M52" i="13"/>
  <c r="M56" i="13"/>
  <c r="M51" i="13"/>
  <c r="M55" i="13"/>
  <c r="M47" i="13"/>
  <c r="M36" i="13"/>
  <c r="M32" i="13"/>
  <c r="M48" i="13"/>
  <c r="M31" i="13"/>
  <c r="M40" i="13"/>
  <c r="M35" i="13"/>
  <c r="M39" i="13"/>
  <c r="T47" i="13"/>
  <c r="T39" i="13"/>
  <c r="T51" i="13"/>
  <c r="T55" i="13"/>
  <c r="T31" i="13"/>
  <c r="T43" i="13"/>
  <c r="T35" i="13"/>
  <c r="D30" i="15"/>
  <c r="E54" i="13"/>
  <c r="E46" i="13"/>
  <c r="E34" i="13"/>
  <c r="E38" i="13"/>
  <c r="E30" i="13"/>
  <c r="E42" i="13"/>
  <c r="E50" i="13"/>
  <c r="E30" i="15"/>
  <c r="K32" i="15"/>
  <c r="K28" i="15"/>
  <c r="K31" i="15"/>
  <c r="K34" i="15" s="1"/>
  <c r="L32" i="15"/>
  <c r="L31" i="15"/>
  <c r="L34" i="15" s="1"/>
  <c r="L28" i="15"/>
  <c r="D37" i="13"/>
  <c r="D33" i="13"/>
  <c r="D45" i="13"/>
  <c r="D53" i="13"/>
  <c r="D49" i="13"/>
  <c r="D29" i="13"/>
  <c r="D41" i="13"/>
  <c r="K40" i="13"/>
  <c r="K47" i="13"/>
  <c r="K48" i="13"/>
  <c r="K55" i="13"/>
  <c r="K36" i="13"/>
  <c r="K35" i="13"/>
  <c r="K56" i="13"/>
  <c r="K44" i="13"/>
  <c r="K31" i="13"/>
  <c r="K32" i="13"/>
  <c r="K28" i="13"/>
  <c r="K39" i="13"/>
  <c r="K51" i="13"/>
  <c r="K43" i="13"/>
  <c r="K52" i="13"/>
  <c r="M32" i="15"/>
  <c r="M28" i="15"/>
  <c r="M31" i="15"/>
  <c r="M34" i="15" s="1"/>
  <c r="B30" i="15"/>
  <c r="H29" i="13"/>
  <c r="H45" i="13"/>
  <c r="H49" i="13"/>
  <c r="H41" i="13"/>
  <c r="H33" i="13"/>
  <c r="H37" i="13"/>
  <c r="H53" i="13"/>
  <c r="H30" i="15"/>
  <c r="E49" i="13"/>
  <c r="E37" i="13"/>
  <c r="E45" i="13"/>
  <c r="E33" i="13"/>
  <c r="E53" i="13"/>
  <c r="E41" i="13"/>
  <c r="E29" i="13"/>
  <c r="H34" i="13"/>
  <c r="H38" i="13"/>
  <c r="H42" i="13"/>
  <c r="H46" i="13"/>
  <c r="H50" i="13"/>
  <c r="H30" i="13"/>
  <c r="H54" i="13"/>
  <c r="B29" i="5"/>
  <c r="H29" i="4"/>
  <c r="H45" i="4"/>
  <c r="E29" i="5"/>
  <c r="H37" i="4"/>
  <c r="D29" i="6"/>
  <c r="E33" i="5"/>
  <c r="K44" i="5"/>
  <c r="E41" i="10"/>
  <c r="H53" i="1"/>
  <c r="E49" i="10"/>
  <c r="K36" i="5"/>
  <c r="E29" i="10"/>
  <c r="T43" i="5"/>
  <c r="B46" i="10"/>
  <c r="B42" i="5"/>
  <c r="T39" i="5"/>
  <c r="H41" i="1"/>
  <c r="H41" i="5"/>
  <c r="H29" i="1"/>
  <c r="H49" i="1"/>
  <c r="B50" i="10"/>
  <c r="K43" i="4"/>
  <c r="K28" i="5"/>
  <c r="H37" i="1"/>
  <c r="E37" i="10"/>
  <c r="H45" i="1"/>
  <c r="E45" i="10"/>
  <c r="T35" i="5"/>
  <c r="L36" i="7"/>
  <c r="K40" i="5"/>
  <c r="L35" i="7"/>
  <c r="H41" i="4"/>
  <c r="L52" i="10"/>
  <c r="K31" i="5"/>
  <c r="H29" i="7"/>
  <c r="B30" i="10"/>
  <c r="L31" i="7"/>
  <c r="E38" i="6"/>
  <c r="B45" i="10"/>
  <c r="K39" i="5"/>
  <c r="K32" i="5"/>
  <c r="B38" i="10"/>
  <c r="H29" i="5"/>
  <c r="B42" i="10"/>
  <c r="K35" i="5"/>
  <c r="E30" i="6"/>
  <c r="B30" i="6"/>
  <c r="L28" i="7"/>
  <c r="D33" i="6"/>
  <c r="B34" i="6"/>
  <c r="H45" i="10"/>
  <c r="B37" i="10"/>
  <c r="L35" i="1"/>
  <c r="L44" i="10"/>
  <c r="H41" i="10"/>
  <c r="L52" i="1"/>
  <c r="B33" i="10"/>
  <c r="D49" i="1"/>
  <c r="B34" i="1"/>
  <c r="B34" i="4"/>
  <c r="H29" i="10"/>
  <c r="D37" i="1"/>
  <c r="D45" i="4"/>
  <c r="E37" i="6"/>
  <c r="D29" i="7"/>
  <c r="B34" i="5"/>
  <c r="T39" i="4"/>
  <c r="H37" i="5"/>
  <c r="L48" i="10"/>
  <c r="B41" i="10"/>
  <c r="L51" i="10"/>
  <c r="K48" i="10"/>
  <c r="E34" i="1"/>
  <c r="H33" i="6"/>
  <c r="E30" i="7"/>
  <c r="E50" i="1"/>
  <c r="K32" i="7"/>
  <c r="B37" i="4"/>
  <c r="K28" i="9"/>
  <c r="K32" i="9" s="1"/>
  <c r="K39" i="4"/>
  <c r="B42" i="1"/>
  <c r="B41" i="1"/>
  <c r="E33" i="7"/>
  <c r="L32" i="1"/>
  <c r="B30" i="1"/>
  <c r="B46" i="4"/>
  <c r="B54" i="1"/>
  <c r="B33" i="5"/>
  <c r="K35" i="7"/>
  <c r="B33" i="4"/>
  <c r="B50" i="1"/>
  <c r="B41" i="5"/>
  <c r="B38" i="1"/>
  <c r="B38" i="5"/>
  <c r="H33" i="10"/>
  <c r="K35" i="4"/>
  <c r="K35" i="10"/>
  <c r="B34" i="7"/>
  <c r="K36" i="10"/>
  <c r="E42" i="1"/>
  <c r="L31" i="10"/>
  <c r="L39" i="10"/>
  <c r="B29" i="1"/>
  <c r="T43" i="4"/>
  <c r="E30" i="1"/>
  <c r="L35" i="10"/>
  <c r="H29" i="6"/>
  <c r="B49" i="10"/>
  <c r="E38" i="1"/>
  <c r="L36" i="10"/>
  <c r="L47" i="10"/>
  <c r="K31" i="10"/>
  <c r="K43" i="10"/>
  <c r="K44" i="4"/>
  <c r="B49" i="1"/>
  <c r="K28" i="10"/>
  <c r="K44" i="10"/>
  <c r="L28" i="1"/>
  <c r="K47" i="4"/>
  <c r="L32" i="5"/>
  <c r="B37" i="1"/>
  <c r="B30" i="4"/>
  <c r="K52" i="10"/>
  <c r="B45" i="1"/>
  <c r="E33" i="6"/>
  <c r="K51" i="10"/>
  <c r="K39" i="10"/>
  <c r="L55" i="1"/>
  <c r="K48" i="4"/>
  <c r="K32" i="4"/>
  <c r="L43" i="4"/>
  <c r="H49" i="10"/>
  <c r="B33" i="1"/>
  <c r="E41" i="5"/>
  <c r="K36" i="4"/>
  <c r="K32" i="10"/>
  <c r="K31" i="4"/>
  <c r="K47" i="10"/>
  <c r="L56" i="1"/>
  <c r="K40" i="4"/>
  <c r="T39" i="6"/>
  <c r="L39" i="5"/>
  <c r="L28" i="6"/>
  <c r="K36" i="7"/>
  <c r="L40" i="6"/>
  <c r="T31" i="10"/>
  <c r="B33" i="6"/>
  <c r="K31" i="7"/>
  <c r="E41" i="4"/>
  <c r="B45" i="4"/>
  <c r="B37" i="6"/>
  <c r="E34" i="4"/>
  <c r="T35" i="10"/>
  <c r="T43" i="1"/>
  <c r="D33" i="5"/>
  <c r="B29" i="4"/>
  <c r="L31" i="5"/>
  <c r="L51" i="1"/>
  <c r="L36" i="1"/>
  <c r="D29" i="1"/>
  <c r="L47" i="4"/>
  <c r="B38" i="4"/>
  <c r="L39" i="1"/>
  <c r="L43" i="1"/>
  <c r="D45" i="1"/>
  <c r="L40" i="1"/>
  <c r="L44" i="1"/>
  <c r="D33" i="1"/>
  <c r="K28" i="6"/>
  <c r="L47" i="1"/>
  <c r="D53" i="1"/>
  <c r="B33" i="7"/>
  <c r="L32" i="4"/>
  <c r="E37" i="4"/>
  <c r="D33" i="4"/>
  <c r="T55" i="1"/>
  <c r="L31" i="1"/>
  <c r="L35" i="4"/>
  <c r="E33" i="4"/>
  <c r="D29" i="4"/>
  <c r="E49" i="1"/>
  <c r="T47" i="10"/>
  <c r="E34" i="10"/>
  <c r="E37" i="1"/>
  <c r="K31" i="6"/>
  <c r="L36" i="4"/>
  <c r="D41" i="10"/>
  <c r="L35" i="6"/>
  <c r="E38" i="4"/>
  <c r="E46" i="1"/>
  <c r="L43" i="10"/>
  <c r="L28" i="10"/>
  <c r="K32" i="6"/>
  <c r="L28" i="4"/>
  <c r="D45" i="10"/>
  <c r="E45" i="4"/>
  <c r="E30" i="5"/>
  <c r="L32" i="6"/>
  <c r="E46" i="10"/>
  <c r="K40" i="6"/>
  <c r="L48" i="4"/>
  <c r="E42" i="4"/>
  <c r="K39" i="6"/>
  <c r="L39" i="4"/>
  <c r="D49" i="10"/>
  <c r="E42" i="5"/>
  <c r="L39" i="6"/>
  <c r="T51" i="1"/>
  <c r="T35" i="4"/>
  <c r="D29" i="5"/>
  <c r="T35" i="6"/>
  <c r="L32" i="10"/>
  <c r="L30" i="9"/>
  <c r="L43" i="5"/>
  <c r="K35" i="6"/>
  <c r="L44" i="4"/>
  <c r="D37" i="10"/>
  <c r="E38" i="5"/>
  <c r="L31" i="6"/>
  <c r="T35" i="1"/>
  <c r="L44" i="5"/>
  <c r="L40" i="4"/>
  <c r="E46" i="4"/>
  <c r="T31" i="7"/>
  <c r="E33" i="1"/>
  <c r="T31" i="1"/>
  <c r="T43" i="10"/>
  <c r="T31" i="4"/>
  <c r="D41" i="5"/>
  <c r="E30" i="10"/>
  <c r="L28" i="5"/>
  <c r="E53" i="1"/>
  <c r="T39" i="1"/>
  <c r="T51" i="10"/>
  <c r="E42" i="10"/>
  <c r="L35" i="5"/>
  <c r="L40" i="5"/>
  <c r="E41" i="1"/>
  <c r="D33" i="10"/>
  <c r="D41" i="4"/>
  <c r="E38" i="10"/>
  <c r="E29" i="1"/>
  <c r="H50" i="1"/>
  <c r="H30" i="1"/>
  <c r="H42" i="1"/>
  <c r="H54" i="1"/>
  <c r="H34" i="1"/>
  <c r="H46" i="1"/>
  <c r="H38" i="1"/>
  <c r="H42" i="4"/>
  <c r="H46" i="4"/>
  <c r="H30" i="4"/>
  <c r="H38" i="4"/>
  <c r="H34" i="4"/>
  <c r="M52" i="10"/>
  <c r="M51" i="10"/>
  <c r="M36" i="10"/>
  <c r="M35" i="10"/>
  <c r="M48" i="10"/>
  <c r="M47" i="10"/>
  <c r="M40" i="10"/>
  <c r="M39" i="10"/>
  <c r="M32" i="10"/>
  <c r="M44" i="10"/>
  <c r="M43" i="10"/>
  <c r="M28" i="10"/>
  <c r="M31" i="10"/>
  <c r="D46" i="4"/>
  <c r="D34" i="4"/>
  <c r="D38" i="4"/>
  <c r="D30" i="4"/>
  <c r="D42" i="4"/>
  <c r="M44" i="4"/>
  <c r="M43" i="4"/>
  <c r="M32" i="4"/>
  <c r="M31" i="4"/>
  <c r="M47" i="4"/>
  <c r="M36" i="4"/>
  <c r="M35" i="4"/>
  <c r="M48" i="4"/>
  <c r="M40" i="4"/>
  <c r="M39" i="4"/>
  <c r="M28" i="4"/>
  <c r="D34" i="7"/>
  <c r="D30" i="7"/>
  <c r="H34" i="7"/>
  <c r="H30" i="7"/>
  <c r="M28" i="7"/>
  <c r="M32" i="7"/>
  <c r="M31" i="7"/>
  <c r="M36" i="7"/>
  <c r="M35" i="7"/>
  <c r="D38" i="6"/>
  <c r="D34" i="6"/>
  <c r="D30" i="6"/>
  <c r="M56" i="1"/>
  <c r="M55" i="1"/>
  <c r="M36" i="1"/>
  <c r="M35" i="1"/>
  <c r="M48" i="1"/>
  <c r="M47" i="1"/>
  <c r="M40" i="1"/>
  <c r="M39" i="1"/>
  <c r="M28" i="1"/>
  <c r="M52" i="1"/>
  <c r="M51" i="1"/>
  <c r="M32" i="1"/>
  <c r="M31" i="1"/>
  <c r="M44" i="1"/>
  <c r="M43" i="1"/>
  <c r="D42" i="5"/>
  <c r="D34" i="5"/>
  <c r="D30" i="5"/>
  <c r="D38" i="5"/>
  <c r="H46" i="10"/>
  <c r="H30" i="10"/>
  <c r="H42" i="10"/>
  <c r="H50" i="10"/>
  <c r="H34" i="10"/>
  <c r="H38" i="10"/>
  <c r="M44" i="5"/>
  <c r="M43" i="5"/>
  <c r="M39" i="5"/>
  <c r="M36" i="5"/>
  <c r="M28" i="5"/>
  <c r="M35" i="5"/>
  <c r="M31" i="5"/>
  <c r="M32" i="5"/>
  <c r="M40" i="5"/>
  <c r="D38" i="1"/>
  <c r="D50" i="1"/>
  <c r="D30" i="1"/>
  <c r="D42" i="1"/>
  <c r="D54" i="1"/>
  <c r="D34" i="1"/>
  <c r="D46" i="1"/>
  <c r="H38" i="5"/>
  <c r="H42" i="5"/>
  <c r="H34" i="5"/>
  <c r="H30" i="5"/>
  <c r="M30" i="9"/>
  <c r="M28" i="9"/>
  <c r="M32" i="9" s="1"/>
  <c r="D38" i="10"/>
  <c r="D50" i="10"/>
  <c r="D30" i="10"/>
  <c r="D42" i="10"/>
  <c r="D46" i="10"/>
  <c r="D34" i="10"/>
  <c r="H34" i="6"/>
  <c r="H38" i="6"/>
  <c r="H30" i="6"/>
  <c r="M36" i="6"/>
  <c r="M35" i="6"/>
  <c r="M40" i="6"/>
  <c r="M39" i="6"/>
  <c r="M31" i="6"/>
  <c r="M32" i="6"/>
  <c r="M28" i="6"/>
  <c r="O58" i="17" l="1"/>
  <c r="O60" i="17"/>
  <c r="O62" i="18"/>
  <c r="O64" i="18"/>
  <c r="R62" i="13"/>
  <c r="R64" i="13"/>
  <c r="O27" i="5"/>
  <c r="O27" i="9"/>
  <c r="O28" i="9" s="1"/>
  <c r="O27" i="6"/>
  <c r="K47" i="1"/>
  <c r="K39" i="1"/>
  <c r="K48" i="1"/>
  <c r="K51" i="1"/>
  <c r="K52" i="1"/>
  <c r="K44" i="1"/>
  <c r="K55" i="1"/>
  <c r="E36" i="6"/>
  <c r="O27" i="10"/>
  <c r="R58" i="1"/>
  <c r="K36" i="1"/>
  <c r="K35" i="1"/>
  <c r="K28" i="1"/>
  <c r="K32" i="1"/>
  <c r="K43" i="1"/>
  <c r="B30" i="9"/>
  <c r="K40" i="1"/>
  <c r="K31" i="1"/>
  <c r="E28" i="10"/>
  <c r="O27" i="7"/>
  <c r="M62" i="13"/>
  <c r="L62" i="13"/>
  <c r="O27" i="1"/>
  <c r="O39" i="1" s="1"/>
  <c r="O27" i="15"/>
  <c r="K62" i="13"/>
  <c r="O27" i="4"/>
  <c r="T62" i="13"/>
  <c r="R54" i="10"/>
  <c r="O27" i="13"/>
  <c r="O59" i="13" s="1"/>
  <c r="M36" i="15"/>
  <c r="M64" i="13"/>
  <c r="L64" i="13"/>
  <c r="K64" i="13"/>
  <c r="E59" i="13"/>
  <c r="E60" i="13"/>
  <c r="H60" i="13"/>
  <c r="H59" i="13"/>
  <c r="B60" i="13"/>
  <c r="B59" i="13"/>
  <c r="D60" i="13"/>
  <c r="D59" i="13"/>
  <c r="R56" i="10"/>
  <c r="R60" i="1"/>
  <c r="I60" i="1"/>
  <c r="I58" i="1"/>
  <c r="R46" i="5"/>
  <c r="R50" i="4"/>
  <c r="R42" i="6"/>
  <c r="I54" i="10"/>
  <c r="I56" i="10"/>
  <c r="R52" i="4"/>
  <c r="R48" i="5"/>
  <c r="I50" i="4"/>
  <c r="I52" i="4"/>
  <c r="I48" i="5"/>
  <c r="I46" i="5"/>
  <c r="R44" i="6"/>
  <c r="I42" i="6"/>
  <c r="I44" i="6"/>
  <c r="R38" i="7"/>
  <c r="R40" i="7"/>
  <c r="I40" i="7"/>
  <c r="T38" i="7"/>
  <c r="I38" i="7"/>
  <c r="E28" i="15"/>
  <c r="E31" i="15"/>
  <c r="E34" i="15" s="1"/>
  <c r="E32" i="15"/>
  <c r="H56" i="13"/>
  <c r="H47" i="13"/>
  <c r="H55" i="13"/>
  <c r="H28" i="13"/>
  <c r="H36" i="13"/>
  <c r="H52" i="13"/>
  <c r="H39" i="13"/>
  <c r="H40" i="13"/>
  <c r="H44" i="13"/>
  <c r="H32" i="13"/>
  <c r="H31" i="13"/>
  <c r="H51" i="13"/>
  <c r="H48" i="13"/>
  <c r="H35" i="13"/>
  <c r="H43" i="13"/>
  <c r="L36" i="15"/>
  <c r="D56" i="13"/>
  <c r="D51" i="13"/>
  <c r="D32" i="13"/>
  <c r="D40" i="13"/>
  <c r="D44" i="13"/>
  <c r="D28" i="13"/>
  <c r="D39" i="13"/>
  <c r="D43" i="13"/>
  <c r="D36" i="13"/>
  <c r="D31" i="13"/>
  <c r="D35" i="13"/>
  <c r="D48" i="13"/>
  <c r="D52" i="13"/>
  <c r="D55" i="13"/>
  <c r="D47" i="13"/>
  <c r="H32" i="15"/>
  <c r="H31" i="15"/>
  <c r="H34" i="15" s="1"/>
  <c r="H28" i="15"/>
  <c r="E39" i="13"/>
  <c r="E56" i="13"/>
  <c r="E51" i="13"/>
  <c r="E40" i="13"/>
  <c r="E36" i="13"/>
  <c r="E35" i="13"/>
  <c r="E31" i="13"/>
  <c r="E28" i="13"/>
  <c r="E52" i="13"/>
  <c r="E32" i="13"/>
  <c r="E47" i="13"/>
  <c r="E44" i="13"/>
  <c r="E48" i="13"/>
  <c r="E43" i="13"/>
  <c r="E55" i="13"/>
  <c r="K36" i="15"/>
  <c r="D31" i="15"/>
  <c r="D34" i="15" s="1"/>
  <c r="D32" i="15"/>
  <c r="D28" i="15"/>
  <c r="B32" i="13"/>
  <c r="B36" i="13"/>
  <c r="B28" i="13"/>
  <c r="B48" i="13"/>
  <c r="B44" i="13"/>
  <c r="B55" i="13"/>
  <c r="B43" i="13"/>
  <c r="B39" i="13"/>
  <c r="B40" i="13"/>
  <c r="B35" i="13"/>
  <c r="B31" i="13"/>
  <c r="B52" i="13"/>
  <c r="B56" i="13"/>
  <c r="B47" i="13"/>
  <c r="B51" i="13"/>
  <c r="K46" i="5"/>
  <c r="T46" i="5"/>
  <c r="B35" i="1"/>
  <c r="B43" i="1"/>
  <c r="D30" i="9"/>
  <c r="H30" i="9"/>
  <c r="B39" i="5"/>
  <c r="B39" i="1"/>
  <c r="B44" i="5"/>
  <c r="B28" i="9"/>
  <c r="B32" i="9" s="1"/>
  <c r="L38" i="7"/>
  <c r="B52" i="1"/>
  <c r="L40" i="7"/>
  <c r="K48" i="5"/>
  <c r="E39" i="6"/>
  <c r="B28" i="10"/>
  <c r="E35" i="6"/>
  <c r="E30" i="9"/>
  <c r="E32" i="7"/>
  <c r="K38" i="7"/>
  <c r="E36" i="10"/>
  <c r="B40" i="10"/>
  <c r="B47" i="10"/>
  <c r="K40" i="7"/>
  <c r="B43" i="10"/>
  <c r="B35" i="5"/>
  <c r="E52" i="10"/>
  <c r="E35" i="7"/>
  <c r="E38" i="7" s="1"/>
  <c r="B31" i="1"/>
  <c r="B32" i="10"/>
  <c r="B40" i="5"/>
  <c r="B48" i="4"/>
  <c r="B28" i="1"/>
  <c r="B36" i="1"/>
  <c r="B39" i="6"/>
  <c r="B36" i="10"/>
  <c r="B32" i="6"/>
  <c r="B31" i="5"/>
  <c r="B32" i="1"/>
  <c r="B31" i="10"/>
  <c r="B40" i="6"/>
  <c r="E36" i="5"/>
  <c r="B47" i="1"/>
  <c r="K56" i="10"/>
  <c r="B35" i="10"/>
  <c r="E32" i="5"/>
  <c r="E44" i="10"/>
  <c r="L60" i="1"/>
  <c r="E35" i="10"/>
  <c r="K52" i="4"/>
  <c r="B39" i="10"/>
  <c r="B48" i="10"/>
  <c r="E40" i="10"/>
  <c r="B51" i="10"/>
  <c r="B44" i="10"/>
  <c r="E48" i="10"/>
  <c r="E51" i="10"/>
  <c r="L42" i="6"/>
  <c r="L50" i="4"/>
  <c r="K54" i="10"/>
  <c r="K50" i="4"/>
  <c r="E31" i="10"/>
  <c r="L54" i="10"/>
  <c r="E39" i="10"/>
  <c r="B32" i="7"/>
  <c r="B47" i="4"/>
  <c r="B36" i="5"/>
  <c r="B28" i="7"/>
  <c r="E32" i="10"/>
  <c r="B43" i="4"/>
  <c r="E40" i="4"/>
  <c r="B51" i="1"/>
  <c r="B40" i="1"/>
  <c r="K44" i="6"/>
  <c r="B28" i="5"/>
  <c r="B32" i="5"/>
  <c r="B35" i="7"/>
  <c r="E47" i="10"/>
  <c r="B28" i="4"/>
  <c r="E35" i="4"/>
  <c r="B56" i="1"/>
  <c r="B55" i="1"/>
  <c r="L58" i="1"/>
  <c r="L44" i="6"/>
  <c r="B31" i="4"/>
  <c r="B31" i="6"/>
  <c r="E31" i="5"/>
  <c r="E43" i="10"/>
  <c r="B36" i="4"/>
  <c r="B44" i="1"/>
  <c r="L48" i="5"/>
  <c r="E32" i="6"/>
  <c r="B28" i="6"/>
  <c r="E43" i="5"/>
  <c r="B31" i="7"/>
  <c r="B44" i="4"/>
  <c r="B39" i="4"/>
  <c r="L56" i="10"/>
  <c r="E28" i="6"/>
  <c r="B35" i="6"/>
  <c r="E51" i="1"/>
  <c r="B32" i="4"/>
  <c r="B40" i="4"/>
  <c r="T42" i="6"/>
  <c r="E28" i="1"/>
  <c r="E35" i="5"/>
  <c r="E36" i="7"/>
  <c r="E40" i="6"/>
  <c r="E44" i="5"/>
  <c r="E48" i="4"/>
  <c r="K42" i="6"/>
  <c r="T58" i="1"/>
  <c r="L52" i="4"/>
  <c r="E31" i="6"/>
  <c r="E40" i="5"/>
  <c r="T50" i="4"/>
  <c r="E28" i="5"/>
  <c r="E28" i="7"/>
  <c r="E44" i="1"/>
  <c r="E32" i="1"/>
  <c r="E47" i="1"/>
  <c r="E43" i="4"/>
  <c r="E35" i="1"/>
  <c r="E43" i="1"/>
  <c r="E48" i="1"/>
  <c r="E36" i="1"/>
  <c r="L46" i="5"/>
  <c r="E36" i="4"/>
  <c r="E31" i="1"/>
  <c r="E52" i="1"/>
  <c r="E39" i="4"/>
  <c r="E47" i="4"/>
  <c r="T54" i="10"/>
  <c r="E32" i="4"/>
  <c r="M54" i="10"/>
  <c r="E56" i="1"/>
  <c r="E40" i="1"/>
  <c r="E44" i="4"/>
  <c r="E39" i="1"/>
  <c r="E28" i="4"/>
  <c r="M60" i="1"/>
  <c r="M52" i="4"/>
  <c r="M44" i="6"/>
  <c r="H39" i="6"/>
  <c r="H32" i="6"/>
  <c r="H40" i="6"/>
  <c r="H28" i="6"/>
  <c r="H36" i="6"/>
  <c r="H35" i="6"/>
  <c r="H31" i="6"/>
  <c r="M46" i="5"/>
  <c r="H35" i="7"/>
  <c r="H28" i="7"/>
  <c r="H32" i="7"/>
  <c r="H31" i="7"/>
  <c r="H36" i="7"/>
  <c r="M50" i="4"/>
  <c r="H40" i="1"/>
  <c r="H28" i="1"/>
  <c r="H52" i="1"/>
  <c r="H39" i="1"/>
  <c r="H51" i="1"/>
  <c r="H32" i="1"/>
  <c r="H44" i="1"/>
  <c r="H31" i="1"/>
  <c r="H56" i="1"/>
  <c r="H43" i="1"/>
  <c r="H55" i="1"/>
  <c r="H36" i="1"/>
  <c r="H48" i="1"/>
  <c r="H35" i="1"/>
  <c r="H47" i="1"/>
  <c r="H47" i="4"/>
  <c r="H44" i="4"/>
  <c r="H48" i="4"/>
  <c r="H35" i="4"/>
  <c r="H28" i="4"/>
  <c r="H43" i="4"/>
  <c r="H40" i="4"/>
  <c r="H39" i="4"/>
  <c r="H31" i="4"/>
  <c r="H32" i="4"/>
  <c r="H36" i="4"/>
  <c r="D47" i="4"/>
  <c r="D40" i="4"/>
  <c r="D31" i="4"/>
  <c r="D35" i="4"/>
  <c r="D28" i="4"/>
  <c r="D44" i="4"/>
  <c r="D39" i="4"/>
  <c r="D48" i="4"/>
  <c r="D36" i="4"/>
  <c r="D43" i="4"/>
  <c r="D32" i="4"/>
  <c r="M38" i="7"/>
  <c r="H36" i="10"/>
  <c r="H48" i="10"/>
  <c r="H52" i="10"/>
  <c r="H39" i="10"/>
  <c r="H51" i="10"/>
  <c r="H44" i="10"/>
  <c r="H31" i="10"/>
  <c r="H43" i="10"/>
  <c r="H40" i="10"/>
  <c r="H32" i="10"/>
  <c r="H47" i="10"/>
  <c r="H35" i="10"/>
  <c r="H28" i="10"/>
  <c r="D32" i="6"/>
  <c r="D36" i="6"/>
  <c r="D39" i="6"/>
  <c r="D31" i="6"/>
  <c r="D40" i="6"/>
  <c r="D35" i="6"/>
  <c r="D28" i="6"/>
  <c r="H36" i="5"/>
  <c r="H40" i="5"/>
  <c r="H28" i="5"/>
  <c r="H35" i="5"/>
  <c r="H31" i="5"/>
  <c r="H39" i="5"/>
  <c r="H32" i="5"/>
  <c r="H44" i="5"/>
  <c r="H43" i="5"/>
  <c r="M48" i="5"/>
  <c r="M42" i="6"/>
  <c r="D44" i="10"/>
  <c r="D39" i="10"/>
  <c r="D51" i="10"/>
  <c r="D40" i="10"/>
  <c r="D52" i="10"/>
  <c r="D47" i="10"/>
  <c r="D28" i="10"/>
  <c r="D35" i="10"/>
  <c r="D31" i="10"/>
  <c r="D36" i="10"/>
  <c r="D43" i="10"/>
  <c r="D32" i="10"/>
  <c r="D48" i="10"/>
  <c r="M58" i="1"/>
  <c r="M40" i="7"/>
  <c r="D32" i="7"/>
  <c r="D35" i="7"/>
  <c r="D28" i="7"/>
  <c r="D36" i="7"/>
  <c r="D31" i="7"/>
  <c r="D48" i="1"/>
  <c r="D43" i="1"/>
  <c r="D55" i="1"/>
  <c r="D40" i="1"/>
  <c r="D35" i="1"/>
  <c r="D28" i="1"/>
  <c r="D52" i="1"/>
  <c r="D47" i="1"/>
  <c r="D44" i="1"/>
  <c r="D39" i="1"/>
  <c r="D56" i="1"/>
  <c r="D51" i="1"/>
  <c r="D36" i="1"/>
  <c r="D31" i="1"/>
  <c r="D44" i="5"/>
  <c r="D39" i="5"/>
  <c r="D36" i="5"/>
  <c r="D31" i="5"/>
  <c r="D43" i="5"/>
  <c r="D40" i="5"/>
  <c r="D35" i="5"/>
  <c r="D28" i="5"/>
  <c r="D32" i="5"/>
  <c r="M56" i="10"/>
  <c r="O32" i="5" l="1"/>
  <c r="O44" i="5"/>
  <c r="O36" i="5"/>
  <c r="O40" i="5"/>
  <c r="O28" i="5"/>
  <c r="O31" i="7"/>
  <c r="O32" i="7"/>
  <c r="O28" i="7"/>
  <c r="O36" i="7"/>
  <c r="O44" i="4"/>
  <c r="O40" i="4"/>
  <c r="O36" i="4"/>
  <c r="O28" i="4"/>
  <c r="O32" i="4"/>
  <c r="O48" i="4"/>
  <c r="O40" i="10"/>
  <c r="O36" i="10"/>
  <c r="O32" i="10"/>
  <c r="O52" i="10"/>
  <c r="O28" i="10"/>
  <c r="O48" i="10"/>
  <c r="O44" i="10"/>
  <c r="O32" i="15"/>
  <c r="O28" i="15"/>
  <c r="O32" i="6"/>
  <c r="O28" i="6"/>
  <c r="O40" i="6"/>
  <c r="O36" i="6"/>
  <c r="O32" i="9"/>
  <c r="K58" i="1"/>
  <c r="K60" i="1"/>
  <c r="D62" i="13"/>
  <c r="O60" i="13"/>
  <c r="B62" i="13"/>
  <c r="H62" i="13"/>
  <c r="E62" i="13"/>
  <c r="H64" i="13"/>
  <c r="E64" i="13"/>
  <c r="D64" i="13"/>
  <c r="B64" i="13"/>
  <c r="E36" i="15"/>
  <c r="H36" i="15"/>
  <c r="D36" i="15"/>
  <c r="O39" i="13"/>
  <c r="O36" i="13"/>
  <c r="O28" i="13"/>
  <c r="O51" i="13"/>
  <c r="O55" i="13"/>
  <c r="O40" i="13"/>
  <c r="O44" i="13"/>
  <c r="O48" i="13"/>
  <c r="O52" i="13"/>
  <c r="O31" i="13"/>
  <c r="O56" i="13"/>
  <c r="O43" i="13"/>
  <c r="O35" i="13"/>
  <c r="O32" i="13"/>
  <c r="O47" i="13"/>
  <c r="O30" i="9"/>
  <c r="E42" i="6"/>
  <c r="O35" i="1"/>
  <c r="O31" i="5"/>
  <c r="O43" i="1"/>
  <c r="B58" i="1"/>
  <c r="O35" i="5"/>
  <c r="O36" i="1"/>
  <c r="O43" i="5"/>
  <c r="O47" i="1"/>
  <c r="B40" i="7"/>
  <c r="B42" i="6"/>
  <c r="B56" i="10"/>
  <c r="E46" i="5"/>
  <c r="E44" i="6"/>
  <c r="B44" i="6"/>
  <c r="O39" i="5"/>
  <c r="B48" i="5"/>
  <c r="B46" i="5"/>
  <c r="E54" i="10"/>
  <c r="E56" i="10"/>
  <c r="B38" i="7"/>
  <c r="B54" i="10"/>
  <c r="B60" i="1"/>
  <c r="B50" i="4"/>
  <c r="E40" i="7"/>
  <c r="E50" i="4"/>
  <c r="E48" i="5"/>
  <c r="B52" i="4"/>
  <c r="O32" i="1"/>
  <c r="D38" i="7"/>
  <c r="O52" i="1"/>
  <c r="O31" i="1"/>
  <c r="O48" i="1"/>
  <c r="O40" i="1"/>
  <c r="E58" i="1"/>
  <c r="O56" i="1"/>
  <c r="O51" i="1"/>
  <c r="O44" i="1"/>
  <c r="O28" i="1"/>
  <c r="O55" i="1"/>
  <c r="O35" i="7"/>
  <c r="E52" i="4"/>
  <c r="E60" i="1"/>
  <c r="H46" i="5"/>
  <c r="D46" i="5"/>
  <c r="D60" i="1"/>
  <c r="H40" i="7"/>
  <c r="D40" i="7"/>
  <c r="O31" i="6"/>
  <c r="O39" i="6"/>
  <c r="O35" i="6"/>
  <c r="D58" i="1"/>
  <c r="D50" i="4"/>
  <c r="O47" i="4"/>
  <c r="O31" i="4"/>
  <c r="O35" i="4"/>
  <c r="O39" i="4"/>
  <c r="O43" i="4"/>
  <c r="H48" i="5"/>
  <c r="H54" i="10"/>
  <c r="D52" i="4"/>
  <c r="H58" i="1"/>
  <c r="O43" i="10"/>
  <c r="O39" i="10"/>
  <c r="O51" i="10"/>
  <c r="O35" i="10"/>
  <c r="O31" i="10"/>
  <c r="O47" i="10"/>
  <c r="H52" i="4"/>
  <c r="H38" i="7"/>
  <c r="H42" i="6"/>
  <c r="H44" i="6"/>
  <c r="D48" i="5"/>
  <c r="D56" i="10"/>
  <c r="D44" i="6"/>
  <c r="H56" i="10"/>
  <c r="H60" i="1"/>
  <c r="H50" i="4"/>
  <c r="D54" i="10"/>
  <c r="D42" i="6"/>
  <c r="O38" i="7" l="1"/>
  <c r="O62" i="13"/>
  <c r="O64" i="13"/>
  <c r="O46" i="5"/>
  <c r="O48" i="5"/>
  <c r="O58" i="1"/>
  <c r="O40" i="7"/>
  <c r="O60" i="1"/>
  <c r="O52" i="4"/>
  <c r="O50" i="4"/>
  <c r="O42" i="6"/>
  <c r="O56" i="10"/>
  <c r="O54" i="10"/>
  <c r="O44" i="6"/>
  <c r="B31" i="15"/>
  <c r="B34" i="15" s="1"/>
  <c r="B32" i="15"/>
  <c r="B28" i="15"/>
  <c r="O31" i="15" l="1"/>
  <c r="O34" i="15" s="1"/>
  <c r="B36" i="15"/>
  <c r="O36" i="15"/>
</calcChain>
</file>

<file path=xl/sharedStrings.xml><?xml version="1.0" encoding="utf-8"?>
<sst xmlns="http://schemas.openxmlformats.org/spreadsheetml/2006/main" count="1270" uniqueCount="422">
  <si>
    <t>Batch Number / Docket Number</t>
  </si>
  <si>
    <t>Ordered Quantity</t>
  </si>
  <si>
    <t>Production Quantity</t>
  </si>
  <si>
    <t>Batch Start Time</t>
  </si>
  <si>
    <t>Adj/Manual Quantity</t>
  </si>
  <si>
    <t>Customer</t>
  </si>
  <si>
    <t>With This Load</t>
  </si>
  <si>
    <t>Site</t>
  </si>
  <si>
    <t>Order Number</t>
  </si>
  <si>
    <t>Recipe Code</t>
  </si>
  <si>
    <t>Recipe Name</t>
  </si>
  <si>
    <t>Truck Driver</t>
  </si>
  <si>
    <t>Truck Number</t>
  </si>
  <si>
    <t>KL 60 U 5261</t>
  </si>
  <si>
    <t>Raw Material</t>
  </si>
  <si>
    <t>Absorb %</t>
  </si>
  <si>
    <t>Moisture %</t>
  </si>
  <si>
    <t>Vehicle List</t>
  </si>
  <si>
    <t>KL 60 U 5548</t>
  </si>
  <si>
    <t>KL 60 U 5842</t>
  </si>
  <si>
    <t>KL 60 U 8198</t>
  </si>
  <si>
    <t>KL 60 U 8257</t>
  </si>
  <si>
    <t>OUR OWN RMC</t>
  </si>
  <si>
    <t xml:space="preserve">  MCI 370 Control System Ver 3.1</t>
  </si>
  <si>
    <t>SCHWING</t>
  </si>
  <si>
    <t>Stetter</t>
  </si>
  <si>
    <t>Docket / Batch Report / Autographic Record</t>
  </si>
  <si>
    <t xml:space="preserve"> Batch Date</t>
  </si>
  <si>
    <t>:</t>
  </si>
  <si>
    <t xml:space="preserve"> Plant Serial Number :</t>
  </si>
  <si>
    <t>Batch Time</t>
  </si>
  <si>
    <t xml:space="preserve"> Batch End Time</t>
  </si>
  <si>
    <r>
      <rPr>
        <sz val="10.5"/>
        <color theme="1"/>
        <rFont val="Times New Roman"/>
        <family val="1"/>
      </rPr>
      <t>M</t>
    </r>
    <r>
      <rPr>
        <vertAlign val="superscript"/>
        <sz val="10.5"/>
        <color theme="1"/>
        <rFont val="Times New Roman"/>
        <family val="1"/>
      </rPr>
      <t>3</t>
    </r>
  </si>
  <si>
    <t>Mixer Capacity</t>
  </si>
  <si>
    <t>Batch Size</t>
  </si>
  <si>
    <t>Net Wt from W.Bridge</t>
  </si>
  <si>
    <t>Kg</t>
  </si>
  <si>
    <t>Batcher Name</t>
  </si>
  <si>
    <t>Aggregate</t>
  </si>
  <si>
    <t>Cement</t>
  </si>
  <si>
    <t>Water</t>
  </si>
  <si>
    <t>MS  / ICE</t>
  </si>
  <si>
    <t>Admixture</t>
  </si>
  <si>
    <t xml:space="preserve">    -</t>
  </si>
  <si>
    <t>Recipe Targets</t>
  </si>
  <si>
    <t>Water Abs (%) / Moisture (%) with water correction / Corr. Target in Kgs / Actual in Kgs.</t>
  </si>
  <si>
    <t>Bal. Wtr</t>
  </si>
  <si>
    <t>Total Set Weight in Kgs.</t>
  </si>
  <si>
    <t>Total Bal. Wtr</t>
  </si>
  <si>
    <t>Total Actual in Kgs.</t>
  </si>
  <si>
    <t>M SAND</t>
  </si>
  <si>
    <t xml:space="preserve">M SAND </t>
  </si>
  <si>
    <t>12 MM</t>
  </si>
  <si>
    <t>20 MM</t>
  </si>
  <si>
    <t>0</t>
  </si>
  <si>
    <t>CEM 1</t>
  </si>
  <si>
    <t>CEM 2</t>
  </si>
  <si>
    <t>CEM 3</t>
  </si>
  <si>
    <t>ADMIX1</t>
  </si>
  <si>
    <t>WATER</t>
  </si>
  <si>
    <t>M SAND %</t>
  </si>
  <si>
    <t>M SAND %2</t>
  </si>
  <si>
    <t>12 MM %</t>
  </si>
  <si>
    <t>20 MM %</t>
  </si>
  <si>
    <t>20MM%</t>
  </si>
  <si>
    <t>M SAND%</t>
  </si>
  <si>
    <t>12 MM%</t>
  </si>
  <si>
    <t>20 MM%</t>
  </si>
  <si>
    <t>h</t>
  </si>
  <si>
    <t>m</t>
  </si>
  <si>
    <t>s</t>
  </si>
  <si>
    <t>7 m3</t>
  </si>
  <si>
    <t>8 m3</t>
  </si>
  <si>
    <t>ADMIX2</t>
  </si>
  <si>
    <t>M 10 A</t>
  </si>
  <si>
    <t>M 15 A</t>
  </si>
  <si>
    <t>M 15 B</t>
  </si>
  <si>
    <t>M 15 C</t>
  </si>
  <si>
    <t>M 20 C</t>
  </si>
  <si>
    <t>M 20 D</t>
  </si>
  <si>
    <t>M 20 E</t>
  </si>
  <si>
    <t>Material</t>
  </si>
  <si>
    <t>Target (Kg)</t>
  </si>
  <si>
    <t>Actual(Kg)</t>
  </si>
  <si>
    <t>Weigher Total Value</t>
  </si>
  <si>
    <t>-</t>
  </si>
  <si>
    <t>Customer Code</t>
  </si>
  <si>
    <t>Recipe Code / 
Grade</t>
  </si>
  <si>
    <t>Batch Number</t>
  </si>
  <si>
    <r>
      <t>Production Qty M</t>
    </r>
    <r>
      <rPr>
        <b/>
        <vertAlign val="superscript"/>
        <sz val="11"/>
        <color theme="1"/>
        <rFont val="Times New Roman"/>
        <family val="1"/>
      </rPr>
      <t>3</t>
    </r>
  </si>
  <si>
    <r>
      <t>Mixer Capacity / Batch Size M</t>
    </r>
    <r>
      <rPr>
        <b/>
        <vertAlign val="superscript"/>
        <sz val="10.5"/>
        <color theme="1"/>
        <rFont val="Times New Roman"/>
        <family val="1"/>
      </rPr>
      <t>5</t>
    </r>
    <r>
      <rPr>
        <sz val="11"/>
        <color theme="1"/>
        <rFont val="Calibri"/>
        <family val="2"/>
        <scheme val="minor"/>
      </rPr>
      <t/>
    </r>
  </si>
  <si>
    <t>Moisture in %</t>
  </si>
  <si>
    <t>Truck Registration Number</t>
  </si>
  <si>
    <t>Driver Name</t>
  </si>
  <si>
    <t>Status</t>
  </si>
  <si>
    <t>Message</t>
  </si>
  <si>
    <t>Time</t>
  </si>
  <si>
    <t>Date</t>
  </si>
  <si>
    <t>P</t>
  </si>
  <si>
    <t>Alarm Not Declared 202.7</t>
  </si>
  <si>
    <t>Asc. Conv. Material Transfer Time</t>
  </si>
  <si>
    <t xml:space="preserve">Wait. Hopper </t>
  </si>
  <si>
    <t>Mixing PreMixing</t>
  </si>
  <si>
    <t>Mixer Gate Opend</t>
  </si>
  <si>
    <t>Order Qty.</t>
  </si>
  <si>
    <t>Qty</t>
  </si>
  <si>
    <t>TOTAL</t>
  </si>
  <si>
    <t>Absr%</t>
  </si>
  <si>
    <t>Moist%</t>
  </si>
  <si>
    <t>Order No</t>
  </si>
  <si>
    <t>Customer Name</t>
  </si>
  <si>
    <t>Apsara Public School</t>
  </si>
  <si>
    <t>Kidas BK Builders</t>
  </si>
  <si>
    <t>MAHA VIDYA DAYINI FOUNDATION</t>
  </si>
  <si>
    <t>Qatar Sports City</t>
  </si>
  <si>
    <t>Sandeep KV</t>
  </si>
  <si>
    <t>SEDC Cement</t>
  </si>
  <si>
    <t>Shajina Construction</t>
  </si>
  <si>
    <t>Sharpline Builders and Developers</t>
  </si>
  <si>
    <t>SRI RANGA CONSTRUCTION</t>
  </si>
  <si>
    <t>SUDHEESH KP</t>
  </si>
  <si>
    <t>TA Abdul Rahiman</t>
  </si>
  <si>
    <t>Thayal Thekkil Mohammed Ashraf</t>
  </si>
  <si>
    <t>Wood crafts</t>
  </si>
  <si>
    <t>Miyapadav</t>
  </si>
  <si>
    <t>NELLITHADAM</t>
  </si>
  <si>
    <t>RazakPachambalam</t>
  </si>
  <si>
    <t>Kundankuzhy, Chotta Bridge</t>
  </si>
  <si>
    <t>Pulikunnu, Kasaragod</t>
  </si>
  <si>
    <t>Railway Station Road, Uppala</t>
  </si>
  <si>
    <t>M 7.5 A</t>
  </si>
  <si>
    <t>M 15 Screed</t>
  </si>
  <si>
    <t>M 20 Screed</t>
  </si>
  <si>
    <t>M 25 L</t>
  </si>
  <si>
    <t>M 25 R</t>
  </si>
  <si>
    <t>M 30 R</t>
  </si>
  <si>
    <t xml:space="preserve">M 35 L </t>
  </si>
  <si>
    <t>KL 60 V 8735</t>
  </si>
  <si>
    <t>KASARAGOD</t>
  </si>
  <si>
    <t>KASARAGOD RAILWAY STATION</t>
  </si>
  <si>
    <t>KUNIYA</t>
  </si>
  <si>
    <t>KUNIYA GROUP OF INSTITUTIONS</t>
  </si>
  <si>
    <t>LEKHA CONSTRUCTIONS</t>
  </si>
  <si>
    <t>LOF CONSTRUCTIONS</t>
  </si>
  <si>
    <t>PK SULPHEEKER INFRASTRUCTURE LLP</t>
  </si>
  <si>
    <t>PKK CONSTRUCTIONS</t>
  </si>
  <si>
    <t>RAJESH K</t>
  </si>
  <si>
    <t>ANANGOOR KSD</t>
  </si>
  <si>
    <t>SALEEM THALANGARA</t>
  </si>
  <si>
    <t>THALANGARA</t>
  </si>
  <si>
    <t>HOSANGADI</t>
  </si>
  <si>
    <t>MAYIPADI</t>
  </si>
  <si>
    <t>VALLIYODE</t>
  </si>
  <si>
    <t>YAFCO RESINS DURGIPALLA</t>
  </si>
  <si>
    <t>KA ABDUL RAHIMAN</t>
  </si>
  <si>
    <t>CH AHAMMED HAJI</t>
  </si>
  <si>
    <t>CHERKKALA</t>
  </si>
  <si>
    <t>KUMBALA</t>
  </si>
  <si>
    <t>LOKESH KUDLU</t>
  </si>
  <si>
    <t>ITHAL ENGINEERING GROUPS</t>
  </si>
  <si>
    <t>MULLERIYA</t>
  </si>
  <si>
    <t>RASHID ATHINHAL</t>
  </si>
  <si>
    <t>KANHANGAD</t>
  </si>
  <si>
    <t>ANANTHAPURAM</t>
  </si>
  <si>
    <t>D&amp;D CONSTRUCTIONS</t>
  </si>
  <si>
    <t>THONDOLI,KUNIYA</t>
  </si>
  <si>
    <t>RABBANICO BUILDERS</t>
  </si>
  <si>
    <t>EMIN INTERNATIONAL SCHOOL</t>
  </si>
  <si>
    <t>Mr.SURESH KUMAR</t>
  </si>
  <si>
    <t>Mr.ABUDULLAH HASSAINAR</t>
  </si>
  <si>
    <t>VIDYANAGAR</t>
  </si>
  <si>
    <t>FAIZAL</t>
  </si>
  <si>
    <t>SEETHANGOLI</t>
  </si>
  <si>
    <t>ULIYATHADUKKA</t>
  </si>
  <si>
    <t>KOLIYADUKKAM</t>
  </si>
  <si>
    <t>CREEK WINGS</t>
  </si>
  <si>
    <t>HOSANGADI,MAJESHWAR</t>
  </si>
  <si>
    <t>AHAMMED HASHIM</t>
  </si>
  <si>
    <t>CHEMMANAD JAMAATH COMMITTEE</t>
  </si>
  <si>
    <t>CHEMMANAD KSD</t>
  </si>
  <si>
    <t xml:space="preserve">KIDAS  </t>
  </si>
  <si>
    <t>CHAMUNDIKUNNU TEMPLE</t>
  </si>
  <si>
    <t>KL14 AF 2789</t>
  </si>
  <si>
    <t>PRADEEP</t>
  </si>
  <si>
    <t>NALLIKUNNU KSD</t>
  </si>
  <si>
    <t>MITHUN KUMAR NAIK .A</t>
  </si>
  <si>
    <t>Alarm Not Declared 206.7</t>
  </si>
  <si>
    <t>MEGALINE CONSTRUCTIONS</t>
  </si>
  <si>
    <t>SRI RAM SAGAR CONSTRUCTIONS</t>
  </si>
  <si>
    <t>DREAM WINNERS PROJECTS PVT LTD</t>
  </si>
  <si>
    <t>DAWA CENTRE CHARITABLE TRUST</t>
  </si>
  <si>
    <t>YES 2K BUILDERS</t>
  </si>
  <si>
    <t>M 30 OPC+PFA+WP</t>
  </si>
  <si>
    <t>ENGINEERS &amp; BUILDERS</t>
  </si>
  <si>
    <t>UPPALA</t>
  </si>
  <si>
    <t>CHERKKALA KSD</t>
  </si>
  <si>
    <t>SOLAR PROJECT</t>
  </si>
  <si>
    <t>Mrs.SEEMA</t>
  </si>
  <si>
    <t>PATHANADUKKAM BOVIKKANAM</t>
  </si>
  <si>
    <t>SAHARA TRADING&amp;CONT</t>
  </si>
  <si>
    <t>MANJESWARA KSD</t>
  </si>
  <si>
    <t>INFANT JESUS ENGLISH MEDIUM SCHOOL</t>
  </si>
  <si>
    <t>Mr.NARAYANAN</t>
  </si>
  <si>
    <t>CHATTANCHAL</t>
  </si>
  <si>
    <t>min</t>
  </si>
  <si>
    <t>max</t>
  </si>
  <si>
    <t>Water Var%</t>
  </si>
  <si>
    <t>Water Var %</t>
  </si>
  <si>
    <t>SAHU BUILTECH PVT LTD</t>
  </si>
  <si>
    <t>ANJUM DEVELOPERS PVT LTD</t>
  </si>
  <si>
    <t>M 45 B Chettinad OPC</t>
  </si>
  <si>
    <t>KUNNUCHI LAND</t>
  </si>
  <si>
    <t>JHEERNNODHARA SAMITHI ANANTHAPURAM</t>
  </si>
  <si>
    <t>CHAMUNDIKUNNU</t>
  </si>
  <si>
    <t>THAYANGADI KSD</t>
  </si>
  <si>
    <t>VICHITRA CONSTRUCTION Pvt Ltd</t>
  </si>
  <si>
    <t>PALLIKKARA</t>
  </si>
  <si>
    <t>SONKAL FIRESTATION KSD</t>
  </si>
  <si>
    <t>KINFRA</t>
  </si>
  <si>
    <t>MANTECH PAVERS</t>
  </si>
  <si>
    <t>SAHU BUILDTECH PVT LTD</t>
  </si>
  <si>
    <t>RK Creatives</t>
  </si>
  <si>
    <t xml:space="preserve">ANANGOOR </t>
  </si>
  <si>
    <t>KASARAGOD TOWN</t>
  </si>
  <si>
    <t>SREE LAKSHMI CONSTRUCTION</t>
  </si>
  <si>
    <t>AARIKKADI KSD</t>
  </si>
  <si>
    <t>ANANGOOR</t>
  </si>
  <si>
    <t>CHALA ROAD VIDYANAGAR</t>
  </si>
  <si>
    <t>M 25 (KSEB)</t>
  </si>
  <si>
    <t>NIRMITHI KENDRA MULTIPURPOSE CENTRE</t>
  </si>
  <si>
    <t>SUNKATHAKATTA</t>
  </si>
  <si>
    <t>ABDUL NAZAR MA</t>
  </si>
  <si>
    <t>CHENGALA KSD</t>
  </si>
  <si>
    <t>M 25 B</t>
  </si>
  <si>
    <t>ARYACON CONTRACTORS AND ENGINEERS PVT LTD</t>
  </si>
  <si>
    <t>WELCOME CENTER POSADIGUMBE</t>
  </si>
  <si>
    <t>FHC KINNIGAR BELLUR</t>
  </si>
  <si>
    <t>RAJAGOPALAN</t>
  </si>
  <si>
    <t>CHEMNAD JUMA WELFARE</t>
  </si>
  <si>
    <t xml:space="preserve"> </t>
  </si>
  <si>
    <t>PRAMOD KUMAR, MUNNAD</t>
  </si>
  <si>
    <t>KUTTIKOL</t>
  </si>
  <si>
    <t xml:space="preserve">M 30 JSW OPC53 </t>
  </si>
  <si>
    <t>IUML DISTRICT COMMITTEE OFFICE</t>
  </si>
  <si>
    <t>M 25 M</t>
  </si>
  <si>
    <t>MALIK DINAR MOSQUE</t>
  </si>
  <si>
    <t>MR.RASHEED (MASJID BUILDING)</t>
  </si>
  <si>
    <t>LAZDANA HOTELS AND RESORT PVT LTD</t>
  </si>
  <si>
    <t>SREENIVASA PAI</t>
  </si>
  <si>
    <t>BANDIYOD</t>
  </si>
  <si>
    <t>AGRIKA SOLUTIONS</t>
  </si>
  <si>
    <t>WISEMEN ASSOCIATES</t>
  </si>
  <si>
    <t>GANESHAN</t>
  </si>
  <si>
    <t>ARAMANAPADI BRIDGE</t>
  </si>
  <si>
    <t>M 10 B</t>
  </si>
  <si>
    <t>M 30 A</t>
  </si>
  <si>
    <t>M25 C</t>
  </si>
  <si>
    <t xml:space="preserve">M 45 C </t>
  </si>
  <si>
    <t>M30 RAILWAY</t>
  </si>
  <si>
    <t>BOVIKKANAM</t>
  </si>
  <si>
    <t>M 40 A</t>
  </si>
  <si>
    <t>CH CONSTRUCTION</t>
  </si>
  <si>
    <t>ANJANAMTHODI</t>
  </si>
  <si>
    <t>POINACHI</t>
  </si>
  <si>
    <t>RASEENA(KIDAS ENGINEERING)</t>
  </si>
  <si>
    <t>RAMEEZ VILLA</t>
  </si>
  <si>
    <t>MOGRAL</t>
  </si>
  <si>
    <t>MKV ENGINEERING</t>
  </si>
  <si>
    <t>HARBOUR</t>
  </si>
  <si>
    <t>PERUMBALA,KSD</t>
  </si>
  <si>
    <t>KDMA INFRA PVT.LTD</t>
  </si>
  <si>
    <t>HAL SEETHAMGOLI</t>
  </si>
  <si>
    <t>THAMARAKUZHY</t>
  </si>
  <si>
    <t>SRS DYNAMIC INDIA PVT LTD</t>
  </si>
  <si>
    <t>VELLIKOTH</t>
  </si>
  <si>
    <t>M35 D DALMIA OPC+PFA</t>
  </si>
  <si>
    <t>ABOOBAKER THOTTATHIL</t>
  </si>
  <si>
    <t>SASIKANTH RAO</t>
  </si>
  <si>
    <t>LBS ENGINEERING COLLEGE</t>
  </si>
  <si>
    <t>POVVAL</t>
  </si>
  <si>
    <t>ASTER MIMS</t>
  </si>
  <si>
    <t>NEW WORLD OIL INDUSTRIES</t>
  </si>
  <si>
    <t>POINEER</t>
  </si>
  <si>
    <t>MR.SUNAIF</t>
  </si>
  <si>
    <t>BARAKAT CONSTRUCTIONS</t>
  </si>
  <si>
    <t>SWEYER CONSTRUCTIONS</t>
  </si>
  <si>
    <t>ERINHIPUZHA</t>
  </si>
  <si>
    <t>Mr.ASHRAF</t>
  </si>
  <si>
    <t>A ABDUIL KHADER</t>
  </si>
  <si>
    <t>M ABOOBAKER</t>
  </si>
  <si>
    <t xml:space="preserve">SHARPLINE BUILDERS </t>
  </si>
  <si>
    <t>RAHUL</t>
  </si>
  <si>
    <t>KOLATHUR</t>
  </si>
  <si>
    <t>NARAMPADY</t>
  </si>
  <si>
    <t>WIDERANGE PROPERTIES</t>
  </si>
  <si>
    <t>MUHAMMAD ANAS</t>
  </si>
  <si>
    <t>INFAB INFRASTRUCTURE PVT LTD</t>
  </si>
  <si>
    <t>M 25 H (WP)</t>
  </si>
  <si>
    <t>CENTRAL UNIVERSITY,PERIYA</t>
  </si>
  <si>
    <t>GK CONTRACT</t>
  </si>
  <si>
    <t>RAJENDRAN.K</t>
  </si>
  <si>
    <t>SADAGOPAN BASKARAN</t>
  </si>
  <si>
    <t>S BASKARAN</t>
  </si>
  <si>
    <t>KASARAGOD RADAR STATION</t>
  </si>
  <si>
    <t xml:space="preserve">M 35 </t>
  </si>
  <si>
    <t>CHEMNAD LESIYATH MOHAMMMED KUNHI</t>
  </si>
  <si>
    <t>M35  RAMCO OPC</t>
  </si>
  <si>
    <t>MR MUNEER</t>
  </si>
  <si>
    <t>Mr Aneef</t>
  </si>
  <si>
    <t>BAMBRANA,KASARAGOD</t>
  </si>
  <si>
    <t>TATA HOSPITAL</t>
  </si>
  <si>
    <t>Mr.SHOUKATH ALI</t>
  </si>
  <si>
    <t>THIRTHKKARA</t>
  </si>
  <si>
    <t>THIRTHKKARA KSD</t>
  </si>
  <si>
    <t>MYLATTY</t>
  </si>
  <si>
    <t>CHERKAPARA</t>
  </si>
  <si>
    <t>ADAM EPC PVT LTD</t>
  </si>
  <si>
    <t>ZAREENA</t>
  </si>
  <si>
    <t>TM GROUP</t>
  </si>
  <si>
    <t>NAYMARMULA</t>
  </si>
  <si>
    <t>Mr.JOHNSON</t>
  </si>
  <si>
    <t xml:space="preserve">TRANS GLOBAL PVT </t>
  </si>
  <si>
    <t>CPCRI CHOWKI</t>
  </si>
  <si>
    <t>ZAKANIYA MASJID</t>
  </si>
  <si>
    <t>PACHAMBALAM</t>
  </si>
  <si>
    <t>EXCELLENT ENGG</t>
  </si>
  <si>
    <t>M 20 B</t>
  </si>
  <si>
    <t>M 25 DALMIA</t>
  </si>
  <si>
    <t>UNIVERSAL GROUP</t>
  </si>
  <si>
    <t>PUTHYAKOTTA</t>
  </si>
  <si>
    <t xml:space="preserve">M 25 </t>
  </si>
  <si>
    <t>AYYOR POCKER ABDUL KHADER</t>
  </si>
  <si>
    <t>NEKRAJE</t>
  </si>
  <si>
    <t>ULCCS</t>
  </si>
  <si>
    <t>SHARATH</t>
  </si>
  <si>
    <t>PERNE</t>
  </si>
  <si>
    <t>COLLECTORATE KASARGOD</t>
  </si>
  <si>
    <t>TS PROJECTS</t>
  </si>
  <si>
    <t>SANCHARY ATLANTIS PVT LTD</t>
  </si>
  <si>
    <t>K KANNAN CONSTRECTION</t>
  </si>
  <si>
    <t>M 20 A</t>
  </si>
  <si>
    <t>ABDULLA AT</t>
  </si>
  <si>
    <t>VIDYANAGAR (266)</t>
  </si>
  <si>
    <t>DAMUDAR</t>
  </si>
  <si>
    <t>NAYANMARMOOLA</t>
  </si>
  <si>
    <t>BAIDALA RESORT</t>
  </si>
  <si>
    <t>BAIDALA</t>
  </si>
  <si>
    <t>UDHAYAKUMAR&amp;ULLAS</t>
  </si>
  <si>
    <t>BETHURPARA</t>
  </si>
  <si>
    <t xml:space="preserve">KL18 AB 3345 </t>
  </si>
  <si>
    <t>ULCCS1</t>
  </si>
  <si>
    <t xml:space="preserve">KL18 AB 9458 </t>
  </si>
  <si>
    <t>ULCCS2</t>
  </si>
  <si>
    <t>M 45 B</t>
  </si>
  <si>
    <t>SHAREEF</t>
  </si>
  <si>
    <t>NAIKAP</t>
  </si>
  <si>
    <t>E RECYCLE PLASTIC</t>
  </si>
  <si>
    <t>PRATHISH</t>
  </si>
  <si>
    <t>PERIYA</t>
  </si>
  <si>
    <t>KK CONCSTRUCTION</t>
  </si>
  <si>
    <t>WINTOUCH SCHOOL</t>
  </si>
  <si>
    <t>PADIYATHADUKKA</t>
  </si>
  <si>
    <t>ISSAC &amp; SON VENTURES PVT LTD</t>
  </si>
  <si>
    <t>SABITH</t>
  </si>
  <si>
    <t>PATLA</t>
  </si>
  <si>
    <t>RAMGANGA POWER PVT LTD</t>
  </si>
  <si>
    <t xml:space="preserve">M 45 </t>
  </si>
  <si>
    <t>MAZOOD</t>
  </si>
  <si>
    <t>UNNI</t>
  </si>
  <si>
    <t>BARKA</t>
  </si>
  <si>
    <t>M 35 B</t>
  </si>
  <si>
    <t xml:space="preserve"> KASARAGOD</t>
  </si>
  <si>
    <t xml:space="preserve">VIDYANAGAR </t>
  </si>
  <si>
    <t>M 30 J+WP</t>
  </si>
  <si>
    <t>M 25 PILE</t>
  </si>
  <si>
    <t>SAHAL</t>
  </si>
  <si>
    <t>ALAMBADI</t>
  </si>
  <si>
    <t>KL 18 N 2571</t>
  </si>
  <si>
    <t>LA Construction</t>
  </si>
  <si>
    <t>TEAM AZAAD</t>
  </si>
  <si>
    <t>CHENGALA</t>
  </si>
  <si>
    <t>BERKA</t>
  </si>
  <si>
    <t>GAFOOR</t>
  </si>
  <si>
    <t>PANNIPARA</t>
  </si>
  <si>
    <t>FIN ALBINA</t>
  </si>
  <si>
    <t>UDAYAGIRI, VIDYANAGAR</t>
  </si>
  <si>
    <t>MOHAMMADH HASSAN</t>
  </si>
  <si>
    <t>UDAYAGIRI</t>
  </si>
  <si>
    <t>JASMIN VILLA</t>
  </si>
  <si>
    <t>JAYMON</t>
  </si>
  <si>
    <t>PERUMBALA</t>
  </si>
  <si>
    <t>JANARDHANA HOSPITAL</t>
  </si>
  <si>
    <t>RAILWAY STATION ROAD,KSD</t>
  </si>
  <si>
    <t>G:\BPR105\BATCH REPORT 2026</t>
  </si>
  <si>
    <t>SAEED SAHID MS</t>
  </si>
  <si>
    <t>SIVAPRASAD</t>
  </si>
  <si>
    <t>ASSMAS</t>
  </si>
  <si>
    <t>RAGHAV</t>
  </si>
  <si>
    <t>KL 18 N 6232</t>
  </si>
  <si>
    <t>BADIYADKA</t>
  </si>
  <si>
    <t>Dr. MANJUNATH SHETTY</t>
  </si>
  <si>
    <t>BELA</t>
  </si>
  <si>
    <t xml:space="preserve">JASMINE CONSTRUCTION </t>
  </si>
  <si>
    <t>M 35 A  (CHETTINAD OPC+PFA)</t>
  </si>
  <si>
    <t>M25 D</t>
  </si>
  <si>
    <t>SANTHOSHNAGAR</t>
  </si>
  <si>
    <t>SHAREEF - EFFEX DETAILING HUB</t>
  </si>
  <si>
    <t>P M KELUKUTTY</t>
  </si>
  <si>
    <t>KMCT Project</t>
  </si>
  <si>
    <t>M30 OPC</t>
  </si>
  <si>
    <t>EDANEER</t>
  </si>
  <si>
    <t>RAFEEQ KOTTODAL</t>
  </si>
  <si>
    <t>ANGADIMOGAR</t>
  </si>
  <si>
    <t>BOVIKANAM</t>
  </si>
  <si>
    <t>M40 B</t>
  </si>
  <si>
    <t>RADAR</t>
  </si>
  <si>
    <t>KUDLU</t>
  </si>
  <si>
    <t>TEST</t>
  </si>
  <si>
    <t>Mix Name</t>
  </si>
  <si>
    <t>Batch Date :</t>
  </si>
  <si>
    <t>Batch Start Time :</t>
  </si>
  <si>
    <t>Batch End Time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</si>
</sst>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_-;\-* #,##0.00_-;_-* &quot;-&quot;??_-;_-@_-"/>
    <numFmt numFmtId="165" formatCode="_-* #,##0_-;\-* #,##0_-;_-* &quot;-&quot;??_-;_-@_-"/>
    <numFmt numFmtId="166" formatCode="0.000"/>
    <numFmt numFmtId="167" formatCode="dd\-mmm\-yyyy"/>
    <numFmt numFmtId="168" formatCode="[$-14C09]hh:mm:ss;@"/>
    <numFmt numFmtId="169" formatCode="[$-409]hh:mm:ss\ AM/PM;@"/>
    <numFmt numFmtId="170" formatCode="hh:mm:ss\ \Pm"/>
    <numFmt numFmtId="171" formatCode="0.0"/>
    <numFmt numFmtId="172" formatCode="_-* #,##0.0_-;\-* #,##0.0_-;_-* &quot;-&quot;??_-;_-@_-"/>
    <numFmt numFmtId="173" formatCode="hh:mm:ss\ AM/PM;@"/>
    <numFmt numFmtId="174" formatCode="AM/PM"/>
  </numFmts>
  <fonts count="104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0"/>
      <name val="Segoe UI"/>
      <family val="2"/>
    </font>
    <font>
      <sz val="10"/>
      <color theme="1"/>
      <name val="Segoe UI"/>
      <family val="2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6"/>
      <color theme="1"/>
      <name val="Times New Roman"/>
      <family val="1"/>
    </font>
    <font>
      <b/>
      <sz val="12"/>
      <color theme="1"/>
      <name val="Times New Roman"/>
      <family val="1"/>
    </font>
    <font>
      <b/>
      <sz val="10.5"/>
      <color theme="1"/>
      <name val="Times New Roman"/>
      <family val="1"/>
    </font>
    <font>
      <sz val="10.5"/>
      <color theme="1"/>
      <name val="Times New Roman"/>
      <family val="1"/>
    </font>
    <font>
      <b/>
      <sz val="11"/>
      <color rgb="FFFF0000"/>
      <name val="Times New Roman"/>
      <family val="1"/>
    </font>
    <font>
      <sz val="11"/>
      <color theme="1"/>
      <name val="Calibri"/>
      <family val="2"/>
      <scheme val="minor"/>
    </font>
    <font>
      <vertAlign val="superscript"/>
      <sz val="10.5"/>
      <color theme="1"/>
      <name val="Times New Roman"/>
      <family val="1"/>
    </font>
    <font>
      <sz val="11"/>
      <color theme="1"/>
      <name val="Times New Roman"/>
      <family val="1"/>
    </font>
    <font>
      <sz val="10"/>
      <color theme="1"/>
      <name val="Segoe UI"/>
      <family val="2"/>
    </font>
    <font>
      <sz val="10"/>
      <color theme="0"/>
      <name val="Segoe UI"/>
      <family val="2"/>
      <charset val="134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b/>
      <sz val="11"/>
      <color theme="1"/>
      <name val="Times New Roman"/>
      <family val="1"/>
    </font>
    <font>
      <b/>
      <sz val="9"/>
      <color theme="1"/>
      <name val="Times New Roman"/>
      <family val="1"/>
    </font>
    <font>
      <b/>
      <sz val="12"/>
      <color theme="1"/>
      <name val="Times New Roman"/>
      <family val="1"/>
    </font>
    <font>
      <b/>
      <sz val="15"/>
      <color theme="1"/>
      <name val="Times New Roman"/>
      <family val="1"/>
    </font>
    <font>
      <b/>
      <sz val="10.5"/>
      <color theme="1"/>
      <name val="Times New Roman"/>
      <family val="1"/>
    </font>
    <font>
      <b/>
      <sz val="11"/>
      <color theme="2" tint="-0.749992370372631"/>
      <name val="Times New Roman"/>
      <family val="1"/>
    </font>
    <font>
      <b/>
      <vertAlign val="superscript"/>
      <sz val="11"/>
      <color theme="1"/>
      <name val="Times New Roman"/>
      <family val="1"/>
    </font>
    <font>
      <sz val="8"/>
      <name val="Calibri"/>
      <family val="2"/>
      <scheme val="minor"/>
    </font>
    <font>
      <b/>
      <vertAlign val="superscript"/>
      <sz val="10.5"/>
      <color theme="1"/>
      <name val="Times New Roman"/>
      <family val="1"/>
    </font>
    <font>
      <b/>
      <sz val="10.5"/>
      <color theme="1" tint="0.249977111117893"/>
      <name val="Times New Roman"/>
      <family val="1"/>
    </font>
    <font>
      <sz val="11"/>
      <color theme="1"/>
      <name val="Tahoma"/>
      <family val="2"/>
    </font>
    <font>
      <b/>
      <sz val="10"/>
      <color theme="1"/>
      <name val="Verdana"/>
      <family val="2"/>
    </font>
    <font>
      <b/>
      <sz val="9"/>
      <color rgb="FFFF0000"/>
      <name val="Segoe UI"/>
      <family val="2"/>
    </font>
    <font>
      <sz val="6"/>
      <color theme="1"/>
      <name val="Times New Roman"/>
      <family val="1"/>
    </font>
    <font>
      <sz val="6"/>
      <color theme="0" tint="-4.9989318521683403E-2"/>
      <name val="Times New Roman"/>
      <family val="1"/>
    </font>
    <font>
      <sz val="11"/>
      <name val="Times New Roman"/>
      <family val="1"/>
    </font>
    <font>
      <sz val="10"/>
      <color theme="2" tint="-0.499984740745262"/>
      <name val="Times New Roman"/>
      <family val="1"/>
    </font>
    <font>
      <sz val="11"/>
      <color theme="2" tint="-0.499984740745262"/>
      <name val="Times New Roman"/>
      <family val="1"/>
    </font>
    <font>
      <b/>
      <sz val="10"/>
      <color theme="2" tint="-0.499984740745262"/>
      <name val="Times New Roman"/>
      <family val="1"/>
    </font>
    <font>
      <sz val="10"/>
      <color theme="1" tint="0.34998626667073579"/>
      <name val="Segoe UI"/>
      <family val="2"/>
    </font>
    <font>
      <b/>
      <sz val="10"/>
      <color theme="1" tint="0.34998626667073579"/>
      <name val="Segoe UI"/>
      <family val="2"/>
    </font>
    <font>
      <sz val="11"/>
      <color theme="1"/>
      <name val="Segoe UI"/>
      <family val="2"/>
    </font>
    <font>
      <sz val="10"/>
      <color theme="1"/>
      <name val="Calibri"/>
      <family val="2"/>
      <scheme val="minor"/>
    </font>
    <font>
      <sz val="10"/>
      <color theme="0" tint="-4.9989318521683403E-2"/>
      <name val="Times New Roman"/>
      <family val="1"/>
    </font>
    <font>
      <b/>
      <sz val="10"/>
      <color rgb="FF008000"/>
      <name val="Segoe UI"/>
      <family val="2"/>
    </font>
    <font>
      <b/>
      <sz val="11"/>
      <color rgb="FF000000"/>
      <name val="Segoe UI"/>
      <family val="2"/>
    </font>
    <font>
      <sz val="11"/>
      <color theme="1" tint="0.34998626667073579"/>
      <name val="Calibri"/>
      <family val="2"/>
      <scheme val="minor"/>
    </font>
    <font>
      <sz val="10"/>
      <color theme="0" tint="-0.249977111117893"/>
      <name val="Times New Roman"/>
      <family val="1"/>
    </font>
    <font>
      <sz val="11"/>
      <color theme="0" tint="-0.14999847407452621"/>
      <name val="Segoe UI"/>
      <family val="2"/>
    </font>
    <font>
      <b/>
      <sz val="9.5"/>
      <color theme="1"/>
      <name val="Times New Roman"/>
      <family val="1"/>
    </font>
    <font>
      <sz val="10"/>
      <name val="Segoe UI"/>
      <family val="2"/>
    </font>
    <font>
      <b/>
      <sz val="11"/>
      <color theme="0"/>
      <name val="Segoe UI"/>
      <family val="2"/>
    </font>
    <font>
      <sz val="11"/>
      <color theme="1"/>
      <name val="Calibri"/>
      <family val="2"/>
      <charset val="134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EDEBEB"/>
        <bgColor indexed="64"/>
      </patternFill>
    </fill>
    <fill>
      <patternFill patternType="solid">
        <fgColor rgb="FFFFFAE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365FF"/>
        <bgColor indexed="64"/>
      </patternFill>
    </fill>
    <fill>
      <patternFill patternType="solid">
        <fgColor rgb="FFFF965B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rgb="FFFFC000"/>
      </bottom>
      <diagonal/>
    </border>
    <border>
      <left/>
      <right/>
      <top style="thin">
        <color rgb="FFFFC000"/>
      </top>
      <bottom/>
      <diagonal/>
    </border>
    <border>
      <left style="medium">
        <color theme="2" tint="-9.9948118533890809E-2"/>
      </left>
      <right style="medium">
        <color theme="2" tint="-9.9948118533890809E-2"/>
      </right>
      <top style="medium">
        <color theme="2" tint="-9.9948118533890809E-2"/>
      </top>
      <bottom/>
      <diagonal/>
    </border>
    <border>
      <left style="medium">
        <color theme="2" tint="-9.9948118533890809E-2"/>
      </left>
      <right/>
      <top style="medium">
        <color theme="2" tint="-9.9948118533890809E-2"/>
      </top>
      <bottom style="thin">
        <color theme="0" tint="-4.9989318521683403E-2"/>
      </bottom>
      <diagonal/>
    </border>
    <border>
      <left/>
      <right/>
      <top style="medium">
        <color theme="2" tint="-9.9948118533890809E-2"/>
      </top>
      <bottom style="thin">
        <color theme="0" tint="-4.9989318521683403E-2"/>
      </bottom>
      <diagonal/>
    </border>
    <border>
      <left/>
      <right style="medium">
        <color theme="2" tint="-9.9948118533890809E-2"/>
      </right>
      <top style="medium">
        <color theme="2" tint="-9.9948118533890809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medium">
        <color theme="2" tint="-9.9948118533890809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/>
      <bottom/>
      <diagonal/>
    </border>
    <border>
      <left style="medium">
        <color theme="2" tint="-9.9948118533890809E-2"/>
      </left>
      <right/>
      <top style="medium">
        <color theme="2" tint="-9.9948118533890809E-2"/>
      </top>
      <bottom style="medium">
        <color theme="2" tint="-9.9948118533890809E-2"/>
      </bottom>
      <diagonal/>
    </border>
    <border>
      <left/>
      <right/>
      <top style="medium">
        <color theme="2" tint="-9.9948118533890809E-2"/>
      </top>
      <bottom style="medium">
        <color theme="2" tint="-9.9948118533890809E-2"/>
      </bottom>
      <diagonal/>
    </border>
    <border>
      <left/>
      <right style="thick">
        <color theme="2" tint="-0.24994659260841701"/>
      </right>
      <top style="medium">
        <color theme="2" tint="-9.9948118533890809E-2"/>
      </top>
      <bottom style="medium">
        <color theme="2" tint="-9.9948118533890809E-2"/>
      </bottom>
      <diagonal/>
    </border>
    <border>
      <left style="medium">
        <color theme="2" tint="-0.24994659260841701"/>
      </left>
      <right/>
      <top style="medium">
        <color theme="2" tint="-0.24994659260841701"/>
      </top>
      <bottom style="thin">
        <color theme="0" tint="-0.14993743705557422"/>
      </bottom>
      <diagonal/>
    </border>
    <border>
      <left/>
      <right/>
      <top style="medium">
        <color theme="2" tint="-0.24994659260841701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medium">
        <color theme="2" tint="-0.24994659260841701"/>
      </top>
      <bottom style="thin">
        <color theme="0" tint="-0.14993743705557422"/>
      </bottom>
      <diagonal/>
    </border>
    <border>
      <left style="medium">
        <color theme="2" tint="-0.24994659260841701"/>
      </left>
      <right/>
      <top style="medium">
        <color theme="2" tint="-0.24994659260841701"/>
      </top>
      <bottom style="thick">
        <color rgb="FFFFFAEB"/>
      </bottom>
      <diagonal/>
    </border>
    <border>
      <left/>
      <right/>
      <top style="medium">
        <color theme="2" tint="-0.24994659260841701"/>
      </top>
      <bottom style="thick">
        <color rgb="FFFFFAEB"/>
      </bottom>
      <diagonal/>
    </border>
    <border>
      <left/>
      <right style="thick">
        <color rgb="FFFFFAEB"/>
      </right>
      <top style="medium">
        <color theme="2" tint="-0.24994659260841701"/>
      </top>
      <bottom style="thick">
        <color rgb="FFFFFAEB"/>
      </bottom>
      <diagonal/>
    </border>
    <border>
      <left style="medium">
        <color theme="2" tint="-9.9948118533890809E-2"/>
      </left>
      <right/>
      <top style="medium">
        <color theme="2" tint="-9.9948118533890809E-2"/>
      </top>
      <bottom style="thick">
        <color rgb="FFFFFAEB"/>
      </bottom>
      <diagonal/>
    </border>
    <border>
      <left/>
      <right/>
      <top style="medium">
        <color theme="2" tint="-9.9948118533890809E-2"/>
      </top>
      <bottom style="thick">
        <color rgb="FFFFFAEB"/>
      </bottom>
      <diagonal/>
    </border>
    <border>
      <left/>
      <right style="thick">
        <color rgb="FFFFFAEB"/>
      </right>
      <top style="medium">
        <color theme="2" tint="-9.9948118533890809E-2"/>
      </top>
      <bottom style="thick">
        <color rgb="FFFFFAEB"/>
      </bottom>
      <diagonal/>
    </border>
    <border>
      <left style="medium">
        <color theme="2" tint="-9.9948118533890809E-2"/>
      </left>
      <right/>
      <top style="medium">
        <color theme="2" tint="-9.9948118533890809E-2"/>
      </top>
      <bottom style="thin">
        <color theme="2" tint="-9.9948118533890809E-2"/>
      </bottom>
      <diagonal/>
    </border>
    <border>
      <left/>
      <right/>
      <top style="medium">
        <color theme="2" tint="-9.9948118533890809E-2"/>
      </top>
      <bottom style="thin">
        <color theme="2" tint="-9.9948118533890809E-2"/>
      </bottom>
      <diagonal/>
    </border>
    <border>
      <left/>
      <right style="thin">
        <color theme="2" tint="-9.9948118533890809E-2"/>
      </right>
      <top style="medium">
        <color theme="2" tint="-9.9948118533890809E-2"/>
      </top>
      <bottom style="thin">
        <color theme="2" tint="-9.9948118533890809E-2"/>
      </bottom>
      <diagonal/>
    </border>
    <border>
      <left style="medium">
        <color theme="2" tint="-9.9948118533890809E-2"/>
      </left>
      <right/>
      <top/>
      <bottom/>
      <diagonal/>
    </border>
    <border>
      <left/>
      <right style="thin">
        <color theme="0" tint="-4.9989318521683403E-2"/>
      </right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164" fontId="64" fillId="0" borderId="0" applyFont="0" applyFill="0" applyBorder="0" applyAlignment="0" applyProtection="0"/>
    <xf numFmtId="0" fontId="47" fillId="0" borderId="0"/>
  </cellStyleXfs>
  <cellXfs count="304">
    <xf numFmtId="0" fontId="0" fillId="0" borderId="0" xfId="0"/>
    <xf numFmtId="0" fontId="0" fillId="0" borderId="0" xfId="0" applyAlignment="1">
      <alignment horizontal="center"/>
    </xf>
    <xf numFmtId="0" fontId="57" fillId="0" borderId="0" xfId="0" applyFont="1"/>
    <xf numFmtId="0" fontId="58" fillId="0" borderId="0" xfId="0" applyFont="1" applyAlignment="1">
      <alignment vertical="center"/>
    </xf>
    <xf numFmtId="0" fontId="58" fillId="0" borderId="0" xfId="0" applyFont="1"/>
    <xf numFmtId="0" fontId="57" fillId="0" borderId="0" xfId="0" applyFont="1" applyAlignment="1">
      <alignment vertical="center"/>
    </xf>
    <xf numFmtId="0" fontId="61" fillId="0" borderId="0" xfId="0" applyFont="1"/>
    <xf numFmtId="0" fontId="62" fillId="0" borderId="0" xfId="0" applyFont="1"/>
    <xf numFmtId="0" fontId="61" fillId="0" borderId="0" xfId="0" applyFont="1" applyAlignment="1">
      <alignment horizontal="center"/>
    </xf>
    <xf numFmtId="0" fontId="61" fillId="0" borderId="0" xfId="0" applyFont="1" applyAlignment="1">
      <alignment vertical="center"/>
    </xf>
    <xf numFmtId="0" fontId="62" fillId="0" borderId="0" xfId="0" applyFont="1" applyAlignment="1">
      <alignment vertical="center"/>
    </xf>
    <xf numFmtId="0" fontId="61" fillId="0" borderId="0" xfId="0" applyFont="1" applyAlignment="1">
      <alignment horizontal="center" vertical="center"/>
    </xf>
    <xf numFmtId="0" fontId="57" fillId="0" borderId="0" xfId="0" applyFont="1" applyAlignment="1">
      <alignment horizontal="left" vertical="center"/>
    </xf>
    <xf numFmtId="0" fontId="57" fillId="0" borderId="0" xfId="0" applyFont="1" applyAlignment="1">
      <alignment horizontal="center" vertical="center"/>
    </xf>
    <xf numFmtId="0" fontId="57" fillId="0" borderId="0" xfId="0" applyFont="1" applyAlignment="1">
      <alignment horizontal="right" vertical="center"/>
    </xf>
    <xf numFmtId="0" fontId="57" fillId="0" borderId="1" xfId="0" applyFont="1" applyBorder="1" applyAlignment="1">
      <alignment horizontal="right"/>
    </xf>
    <xf numFmtId="2" fontId="57" fillId="0" borderId="0" xfId="0" applyNumberFormat="1" applyFont="1" applyAlignment="1">
      <alignment horizontal="right" vertical="center"/>
    </xf>
    <xf numFmtId="2" fontId="57" fillId="0" borderId="0" xfId="0" applyNumberFormat="1" applyFont="1" applyAlignment="1">
      <alignment vertical="center"/>
    </xf>
    <xf numFmtId="2" fontId="57" fillId="0" borderId="0" xfId="0" applyNumberFormat="1" applyFont="1" applyAlignment="1">
      <alignment horizontal="center" vertical="center"/>
    </xf>
    <xf numFmtId="164" fontId="57" fillId="0" borderId="0" xfId="1" applyFont="1" applyFill="1" applyBorder="1" applyAlignment="1">
      <alignment horizontal="right" vertical="center"/>
    </xf>
    <xf numFmtId="165" fontId="57" fillId="0" borderId="0" xfId="0" applyNumberFormat="1" applyFont="1" applyAlignment="1">
      <alignment horizontal="right" vertical="center"/>
    </xf>
    <xf numFmtId="1" fontId="57" fillId="0" borderId="0" xfId="0" applyNumberFormat="1" applyFont="1" applyAlignment="1">
      <alignment horizontal="right" vertical="center"/>
    </xf>
    <xf numFmtId="0" fontId="57" fillId="0" borderId="2" xfId="0" applyFont="1" applyBorder="1"/>
    <xf numFmtId="0" fontId="58" fillId="0" borderId="2" xfId="0" applyFont="1" applyBorder="1" applyAlignment="1">
      <alignment horizontal="right"/>
    </xf>
    <xf numFmtId="2" fontId="57" fillId="0" borderId="2" xfId="0" applyNumberFormat="1" applyFont="1" applyBorder="1"/>
    <xf numFmtId="1" fontId="57" fillId="0" borderId="0" xfId="0" applyNumberFormat="1" applyFont="1" applyAlignment="1">
      <alignment horizontal="center" vertical="center"/>
    </xf>
    <xf numFmtId="0" fontId="58" fillId="0" borderId="0" xfId="0" applyFont="1" applyAlignment="1">
      <alignment horizontal="right" vertical="center"/>
    </xf>
    <xf numFmtId="0" fontId="57" fillId="0" borderId="1" xfId="0" applyFont="1" applyBorder="1"/>
    <xf numFmtId="0" fontId="57" fillId="0" borderId="2" xfId="0" applyFont="1" applyBorder="1" applyAlignment="1">
      <alignment horizontal="right" vertical="center"/>
    </xf>
    <xf numFmtId="2" fontId="62" fillId="0" borderId="0" xfId="1" applyNumberFormat="1" applyFont="1" applyFill="1" applyAlignment="1">
      <alignment horizontal="left"/>
    </xf>
    <xf numFmtId="0" fontId="62" fillId="0" borderId="0" xfId="0" applyFont="1" applyAlignment="1">
      <alignment horizontal="right"/>
    </xf>
    <xf numFmtId="0" fontId="62" fillId="0" borderId="0" xfId="0" applyFont="1" applyAlignment="1">
      <alignment horizontal="right" vertical="center"/>
    </xf>
    <xf numFmtId="0" fontId="60" fillId="0" borderId="0" xfId="0" applyFont="1" applyAlignment="1">
      <alignment vertical="center"/>
    </xf>
    <xf numFmtId="2" fontId="57" fillId="0" borderId="1" xfId="1" applyNumberFormat="1" applyFont="1" applyBorder="1" applyAlignment="1">
      <alignment horizontal="right"/>
    </xf>
    <xf numFmtId="2" fontId="57" fillId="0" borderId="0" xfId="1" applyNumberFormat="1" applyFont="1" applyFill="1" applyBorder="1" applyAlignment="1">
      <alignment horizontal="right" vertical="center"/>
    </xf>
    <xf numFmtId="2" fontId="57" fillId="0" borderId="0" xfId="1" applyNumberFormat="1" applyFont="1" applyAlignment="1">
      <alignment vertical="center"/>
    </xf>
    <xf numFmtId="166" fontId="57" fillId="0" borderId="0" xfId="0" applyNumberFormat="1" applyFont="1" applyAlignment="1">
      <alignment horizontal="right" vertical="center"/>
    </xf>
    <xf numFmtId="168" fontId="57" fillId="0" borderId="0" xfId="0" applyNumberFormat="1" applyFont="1"/>
    <xf numFmtId="168" fontId="57" fillId="0" borderId="0" xfId="0" applyNumberFormat="1" applyFont="1" applyAlignment="1">
      <alignment vertical="center"/>
    </xf>
    <xf numFmtId="0" fontId="66" fillId="0" borderId="0" xfId="0" applyFont="1" applyAlignment="1">
      <alignment horizontal="right"/>
    </xf>
    <xf numFmtId="21" fontId="57" fillId="0" borderId="0" xfId="0" applyNumberFormat="1" applyFont="1" applyAlignment="1">
      <alignment vertical="center"/>
    </xf>
    <xf numFmtId="0" fontId="57" fillId="0" borderId="0" xfId="0" applyFont="1" applyAlignment="1">
      <alignment horizontal="center"/>
    </xf>
    <xf numFmtId="21" fontId="57" fillId="0" borderId="0" xfId="0" applyNumberFormat="1" applyFont="1" applyAlignment="1">
      <alignment horizontal="center" vertical="center"/>
    </xf>
    <xf numFmtId="0" fontId="63" fillId="0" borderId="0" xfId="0" applyFont="1" applyAlignment="1">
      <alignment horizontal="center" vertical="center"/>
    </xf>
    <xf numFmtId="0" fontId="57" fillId="0" borderId="3" xfId="0" applyFont="1" applyBorder="1"/>
    <xf numFmtId="0" fontId="57" fillId="0" borderId="4" xfId="0" applyFont="1" applyBorder="1" applyAlignment="1">
      <alignment vertical="center"/>
    </xf>
    <xf numFmtId="0" fontId="90" fillId="2" borderId="0" xfId="0" applyFont="1" applyFill="1" applyProtection="1">
      <protection locked="0"/>
    </xf>
    <xf numFmtId="0" fontId="91" fillId="2" borderId="1" xfId="0" applyFont="1" applyFill="1" applyBorder="1"/>
    <xf numFmtId="0" fontId="92" fillId="0" borderId="0" xfId="0" applyFont="1"/>
    <xf numFmtId="0" fontId="56" fillId="2" borderId="0" xfId="0" applyFont="1" applyFill="1" applyProtection="1">
      <protection locked="0"/>
    </xf>
    <xf numFmtId="0" fontId="92" fillId="2" borderId="0" xfId="0" applyFont="1" applyFill="1" applyProtection="1">
      <protection locked="0"/>
    </xf>
    <xf numFmtId="0" fontId="93" fillId="0" borderId="0" xfId="0" applyFont="1"/>
    <xf numFmtId="0" fontId="56" fillId="0" borderId="0" xfId="0" applyFont="1"/>
    <xf numFmtId="0" fontId="91" fillId="2" borderId="1" xfId="0" applyFont="1" applyFill="1" applyBorder="1" applyAlignment="1">
      <alignment horizontal="center"/>
    </xf>
    <xf numFmtId="0" fontId="0" fillId="4" borderId="0" xfId="0" applyFill="1"/>
    <xf numFmtId="0" fontId="0" fillId="13" borderId="0" xfId="0" applyFill="1"/>
    <xf numFmtId="0" fontId="0" fillId="2" borderId="0" xfId="0" applyFill="1"/>
    <xf numFmtId="0" fontId="0" fillId="6" borderId="0" xfId="0" applyFill="1"/>
    <xf numFmtId="0" fontId="0" fillId="7" borderId="0" xfId="0" applyFill="1"/>
    <xf numFmtId="0" fontId="0" fillId="10" borderId="0" xfId="0" applyFill="1"/>
    <xf numFmtId="0" fontId="69" fillId="11" borderId="0" xfId="0" applyFont="1" applyFill="1"/>
    <xf numFmtId="0" fontId="0" fillId="5" borderId="0" xfId="0" applyFill="1"/>
    <xf numFmtId="0" fontId="66" fillId="13" borderId="0" xfId="0" applyFont="1" applyFill="1" applyAlignment="1">
      <alignment vertical="center"/>
    </xf>
    <xf numFmtId="0" fontId="66" fillId="2" borderId="0" xfId="0" applyFont="1" applyFill="1" applyAlignment="1">
      <alignment vertical="center"/>
    </xf>
    <xf numFmtId="0" fontId="66" fillId="6" borderId="0" xfId="0" applyFont="1" applyFill="1" applyAlignment="1">
      <alignment vertical="center"/>
    </xf>
    <xf numFmtId="0" fontId="70" fillId="6" borderId="0" xfId="0" applyFont="1" applyFill="1" applyAlignment="1">
      <alignment vertical="center"/>
    </xf>
    <xf numFmtId="0" fontId="66" fillId="7" borderId="0" xfId="0" applyFont="1" applyFill="1" applyAlignment="1">
      <alignment vertical="center"/>
    </xf>
    <xf numFmtId="0" fontId="70" fillId="7" borderId="0" xfId="0" applyFont="1" applyFill="1" applyAlignment="1">
      <alignment vertical="center"/>
    </xf>
    <xf numFmtId="0" fontId="66" fillId="10" borderId="0" xfId="0" applyFont="1" applyFill="1" applyAlignment="1">
      <alignment vertical="center"/>
    </xf>
    <xf numFmtId="0" fontId="70" fillId="10" borderId="0" xfId="0" applyFont="1" applyFill="1" applyAlignment="1">
      <alignment vertical="center"/>
    </xf>
    <xf numFmtId="0" fontId="66" fillId="5" borderId="0" xfId="0" applyFont="1" applyFill="1" applyAlignment="1">
      <alignment vertical="center"/>
    </xf>
    <xf numFmtId="0" fontId="66" fillId="13" borderId="0" xfId="0" applyFont="1" applyFill="1"/>
    <xf numFmtId="0" fontId="66" fillId="2" borderId="0" xfId="0" applyFont="1" applyFill="1"/>
    <xf numFmtId="0" fontId="66" fillId="6" borderId="0" xfId="0" applyFont="1" applyFill="1"/>
    <xf numFmtId="0" fontId="66" fillId="7" borderId="0" xfId="0" applyFont="1" applyFill="1"/>
    <xf numFmtId="0" fontId="66" fillId="10" borderId="0" xfId="0" applyFont="1" applyFill="1"/>
    <xf numFmtId="0" fontId="66" fillId="11" borderId="0" xfId="0" applyFont="1" applyFill="1"/>
    <xf numFmtId="0" fontId="66" fillId="5" borderId="0" xfId="0" applyFont="1" applyFill="1"/>
    <xf numFmtId="0" fontId="66" fillId="8" borderId="0" xfId="0" applyFont="1" applyFill="1"/>
    <xf numFmtId="0" fontId="81" fillId="2" borderId="0" xfId="0" applyFont="1" applyFill="1"/>
    <xf numFmtId="0" fontId="70" fillId="2" borderId="0" xfId="0" applyFont="1" applyFill="1"/>
    <xf numFmtId="0" fontId="83" fillId="2" borderId="0" xfId="0" applyFont="1" applyFill="1"/>
    <xf numFmtId="0" fontId="76" fillId="2" borderId="0" xfId="0" applyFont="1" applyFill="1" applyAlignment="1">
      <alignment vertical="center"/>
    </xf>
    <xf numFmtId="0" fontId="66" fillId="12" borderId="8" xfId="0" applyFont="1" applyFill="1" applyBorder="1" applyAlignment="1">
      <alignment horizontal="left" vertical="center"/>
    </xf>
    <xf numFmtId="0" fontId="71" fillId="2" borderId="0" xfId="0" applyFont="1" applyFill="1" applyAlignment="1">
      <alignment vertical="center"/>
    </xf>
    <xf numFmtId="0" fontId="76" fillId="2" borderId="0" xfId="0" applyFont="1" applyFill="1" applyAlignment="1">
      <alignment vertical="center" wrapText="1"/>
    </xf>
    <xf numFmtId="0" fontId="71" fillId="2" borderId="0" xfId="0" applyFont="1" applyFill="1" applyAlignment="1">
      <alignment wrapText="1"/>
    </xf>
    <xf numFmtId="0" fontId="70" fillId="2" borderId="0" xfId="0" applyFont="1" applyFill="1" applyAlignment="1">
      <alignment wrapText="1"/>
    </xf>
    <xf numFmtId="0" fontId="66" fillId="9" borderId="9" xfId="0" applyFont="1" applyFill="1" applyBorder="1" applyAlignment="1">
      <alignment horizontal="center"/>
    </xf>
    <xf numFmtId="0" fontId="66" fillId="12" borderId="8" xfId="0" applyFont="1" applyFill="1" applyBorder="1" applyAlignment="1">
      <alignment horizontal="center"/>
    </xf>
    <xf numFmtId="0" fontId="85" fillId="2" borderId="0" xfId="0" applyFont="1" applyFill="1"/>
    <xf numFmtId="0" fontId="84" fillId="2" borderId="0" xfId="0" applyFont="1" applyFill="1"/>
    <xf numFmtId="0" fontId="85" fillId="2" borderId="0" xfId="0" applyFont="1" applyFill="1" applyAlignment="1">
      <alignment horizontal="center"/>
    </xf>
    <xf numFmtId="0" fontId="84" fillId="13" borderId="0" xfId="0" applyFont="1" applyFill="1"/>
    <xf numFmtId="0" fontId="84" fillId="2" borderId="29" xfId="0" applyFont="1" applyFill="1" applyBorder="1"/>
    <xf numFmtId="0" fontId="85" fillId="2" borderId="29" xfId="0" applyFont="1" applyFill="1" applyBorder="1" applyAlignment="1">
      <alignment horizontal="center"/>
    </xf>
    <xf numFmtId="0" fontId="85" fillId="2" borderId="29" xfId="0" applyFont="1" applyFill="1" applyBorder="1"/>
    <xf numFmtId="0" fontId="86" fillId="2" borderId="0" xfId="0" applyFont="1" applyFill="1" applyAlignment="1">
      <alignment vertical="center" textRotation="90"/>
    </xf>
    <xf numFmtId="0" fontId="88" fillId="2" borderId="0" xfId="0" applyFont="1" applyFill="1"/>
    <xf numFmtId="0" fontId="87" fillId="2" borderId="0" xfId="0" applyFont="1" applyFill="1"/>
    <xf numFmtId="0" fontId="87" fillId="2" borderId="0" xfId="0" applyFont="1" applyFill="1" applyAlignment="1">
      <alignment horizontal="right"/>
    </xf>
    <xf numFmtId="0" fontId="89" fillId="2" borderId="0" xfId="0" applyFont="1" applyFill="1" applyAlignment="1">
      <alignment vertical="center"/>
    </xf>
    <xf numFmtId="165" fontId="88" fillId="2" borderId="0" xfId="1" applyNumberFormat="1" applyFont="1" applyFill="1" applyBorder="1" applyAlignment="1" applyProtection="1">
      <alignment horizontal="right" vertical="center"/>
    </xf>
    <xf numFmtId="172" fontId="88" fillId="2" borderId="0" xfId="1" applyNumberFormat="1" applyFont="1" applyFill="1" applyBorder="1" applyAlignment="1" applyProtection="1">
      <alignment horizontal="right" vertical="center"/>
    </xf>
    <xf numFmtId="0" fontId="88" fillId="2" borderId="0" xfId="0" applyFont="1" applyFill="1" applyAlignment="1">
      <alignment horizontal="right"/>
    </xf>
    <xf numFmtId="172" fontId="88" fillId="2" borderId="0" xfId="1" applyNumberFormat="1" applyFont="1" applyFill="1" applyBorder="1" applyAlignment="1" applyProtection="1">
      <alignment horizontal="right"/>
    </xf>
    <xf numFmtId="0" fontId="66" fillId="2" borderId="28" xfId="0" applyFont="1" applyFill="1" applyBorder="1"/>
    <xf numFmtId="0" fontId="86" fillId="2" borderId="28" xfId="0" applyFont="1" applyFill="1" applyBorder="1" applyAlignment="1">
      <alignment vertical="center" textRotation="90"/>
    </xf>
    <xf numFmtId="0" fontId="88" fillId="2" borderId="28" xfId="0" applyFont="1" applyFill="1" applyBorder="1"/>
    <xf numFmtId="0" fontId="87" fillId="2" borderId="28" xfId="0" applyFont="1" applyFill="1" applyBorder="1"/>
    <xf numFmtId="172" fontId="88" fillId="2" borderId="28" xfId="1" applyNumberFormat="1" applyFont="1" applyFill="1" applyBorder="1" applyAlignment="1" applyProtection="1">
      <alignment horizontal="right"/>
    </xf>
    <xf numFmtId="174" fontId="0" fillId="13" borderId="0" xfId="0" applyNumberFormat="1" applyFill="1"/>
    <xf numFmtId="0" fontId="53" fillId="13" borderId="0" xfId="0" applyFont="1" applyFill="1"/>
    <xf numFmtId="165" fontId="66" fillId="2" borderId="0" xfId="0" applyNumberFormat="1" applyFont="1" applyFill="1"/>
    <xf numFmtId="165" fontId="0" fillId="13" borderId="0" xfId="1" applyNumberFormat="1" applyFont="1" applyFill="1"/>
    <xf numFmtId="172" fontId="0" fillId="13" borderId="0" xfId="0" applyNumberFormat="1" applyFill="1"/>
    <xf numFmtId="0" fontId="66" fillId="13" borderId="0" xfId="0" applyFont="1" applyFill="1" applyProtection="1">
      <protection locked="0"/>
    </xf>
    <xf numFmtId="165" fontId="0" fillId="13" borderId="0" xfId="1" applyNumberFormat="1" applyFont="1" applyFill="1" applyProtection="1">
      <protection locked="0"/>
    </xf>
    <xf numFmtId="0" fontId="52" fillId="13" borderId="0" xfId="0" applyFont="1" applyFill="1" applyProtection="1">
      <protection locked="0"/>
    </xf>
    <xf numFmtId="164" fontId="0" fillId="13" borderId="0" xfId="1" applyFont="1" applyFill="1" applyProtection="1">
      <protection locked="0"/>
    </xf>
    <xf numFmtId="0" fontId="93" fillId="2" borderId="0" xfId="0" applyFont="1" applyFill="1"/>
    <xf numFmtId="0" fontId="56" fillId="2" borderId="0" xfId="0" applyFont="1" applyFill="1"/>
    <xf numFmtId="0" fontId="90" fillId="13" borderId="1" xfId="0" applyFont="1" applyFill="1" applyBorder="1"/>
    <xf numFmtId="0" fontId="67" fillId="13" borderId="0" xfId="0" applyFont="1" applyFill="1"/>
    <xf numFmtId="2" fontId="57" fillId="0" borderId="0" xfId="1" applyNumberFormat="1" applyFont="1" applyFill="1" applyBorder="1" applyAlignment="1">
      <alignment horizontal="center" vertical="center"/>
    </xf>
    <xf numFmtId="0" fontId="90" fillId="0" borderId="0" xfId="0" applyFont="1" applyProtection="1">
      <protection locked="0"/>
    </xf>
    <xf numFmtId="0" fontId="48" fillId="0" borderId="0" xfId="0" applyFont="1"/>
    <xf numFmtId="0" fontId="97" fillId="0" borderId="0" xfId="0" applyFont="1"/>
    <xf numFmtId="0" fontId="50" fillId="0" borderId="0" xfId="0" applyFont="1"/>
    <xf numFmtId="0" fontId="56" fillId="0" borderId="0" xfId="0" applyFont="1" applyProtection="1">
      <protection locked="0"/>
    </xf>
    <xf numFmtId="0" fontId="51" fillId="0" borderId="0" xfId="0" applyFont="1"/>
    <xf numFmtId="0" fontId="46" fillId="0" borderId="0" xfId="0" applyFont="1"/>
    <xf numFmtId="0" fontId="45" fillId="0" borderId="0" xfId="0" applyFont="1"/>
    <xf numFmtId="0" fontId="44" fillId="0" borderId="0" xfId="0" applyFont="1"/>
    <xf numFmtId="0" fontId="43" fillId="0" borderId="0" xfId="0" applyFont="1"/>
    <xf numFmtId="0" fontId="42" fillId="0" borderId="0" xfId="0" applyFont="1"/>
    <xf numFmtId="0" fontId="41" fillId="0" borderId="0" xfId="0" applyFont="1"/>
    <xf numFmtId="0" fontId="40" fillId="0" borderId="0" xfId="0" applyFont="1"/>
    <xf numFmtId="0" fontId="39" fillId="0" borderId="0" xfId="0" applyFont="1"/>
    <xf numFmtId="0" fontId="99" fillId="0" borderId="0" xfId="0" applyFont="1" applyAlignment="1">
      <alignment horizontal="left"/>
    </xf>
    <xf numFmtId="0" fontId="38" fillId="0" borderId="0" xfId="0" applyFont="1"/>
    <xf numFmtId="0" fontId="37" fillId="0" borderId="0" xfId="0" applyFont="1"/>
    <xf numFmtId="0" fontId="36" fillId="0" borderId="0" xfId="0" applyFont="1"/>
    <xf numFmtId="0" fontId="35" fillId="0" borderId="0" xfId="0" applyFont="1"/>
    <xf numFmtId="0" fontId="34" fillId="0" borderId="0" xfId="0" applyFont="1"/>
    <xf numFmtId="0" fontId="33" fillId="0" borderId="0" xfId="0" applyFont="1"/>
    <xf numFmtId="0" fontId="32" fillId="0" borderId="0" xfId="0" applyFont="1"/>
    <xf numFmtId="0" fontId="31" fillId="0" borderId="0" xfId="0" applyFont="1"/>
    <xf numFmtId="0" fontId="30" fillId="0" borderId="0" xfId="0" applyFont="1"/>
    <xf numFmtId="0" fontId="29" fillId="0" borderId="0" xfId="0" applyFont="1"/>
    <xf numFmtId="0" fontId="28" fillId="0" borderId="0" xfId="0" applyFont="1"/>
    <xf numFmtId="0" fontId="27" fillId="0" borderId="0" xfId="0" applyFont="1"/>
    <xf numFmtId="0" fontId="26" fillId="0" borderId="0" xfId="0" applyFont="1"/>
    <xf numFmtId="0" fontId="25" fillId="0" borderId="0" xfId="0" applyFont="1"/>
    <xf numFmtId="0" fontId="24" fillId="0" borderId="0" xfId="0" applyFont="1"/>
    <xf numFmtId="0" fontId="23" fillId="0" borderId="0" xfId="0" applyFont="1"/>
    <xf numFmtId="0" fontId="22" fillId="0" borderId="0" xfId="0" applyFont="1"/>
    <xf numFmtId="0" fontId="21" fillId="0" borderId="0" xfId="0" applyFont="1"/>
    <xf numFmtId="0" fontId="20" fillId="0" borderId="0" xfId="0" applyFont="1"/>
    <xf numFmtId="0" fontId="19" fillId="0" borderId="0" xfId="0" applyFont="1"/>
    <xf numFmtId="0" fontId="18" fillId="0" borderId="0" xfId="0" applyFont="1"/>
    <xf numFmtId="0" fontId="17" fillId="0" borderId="0" xfId="0" applyFont="1"/>
    <xf numFmtId="0" fontId="16" fillId="0" borderId="0" xfId="0" applyFont="1"/>
    <xf numFmtId="0" fontId="15" fillId="0" borderId="0" xfId="0" applyFont="1"/>
    <xf numFmtId="0" fontId="14" fillId="0" borderId="0" xfId="0" applyFont="1"/>
    <xf numFmtId="0" fontId="13" fillId="0" borderId="0" xfId="0" applyFont="1"/>
    <xf numFmtId="0" fontId="12" fillId="0" borderId="0" xfId="0" applyFont="1"/>
    <xf numFmtId="0" fontId="11" fillId="0" borderId="0" xfId="0" applyFont="1"/>
    <xf numFmtId="0" fontId="10" fillId="0" borderId="0" xfId="0" applyFont="1"/>
    <xf numFmtId="0" fontId="9" fillId="0" borderId="0" xfId="0" applyFont="1"/>
    <xf numFmtId="0" fontId="8" fillId="0" borderId="0" xfId="0" applyFont="1"/>
    <xf numFmtId="0" fontId="7" fillId="0" borderId="0" xfId="0" applyFont="1"/>
    <xf numFmtId="0" fontId="6" fillId="0" borderId="0" xfId="0" applyFont="1"/>
    <xf numFmtId="0" fontId="5" fillId="0" borderId="0" xfId="0" applyFont="1"/>
    <xf numFmtId="0" fontId="4" fillId="0" borderId="0" xfId="0" applyFont="1"/>
    <xf numFmtId="0" fontId="3" fillId="0" borderId="0" xfId="0" applyFont="1"/>
    <xf numFmtId="0" fontId="2" fillId="0" borderId="0" xfId="0" applyFont="1"/>
    <xf numFmtId="0" fontId="0" fillId="4" borderId="0" xfId="0" applyFill="1" applyProtection="1">
      <protection locked="0"/>
    </xf>
    <xf numFmtId="0" fontId="55" fillId="0" borderId="0" xfId="0" applyFont="1"/>
    <xf numFmtId="0" fontId="55" fillId="0" borderId="0" xfId="0" applyFont="1" applyAlignment="1">
      <alignment horizontal="center"/>
    </xf>
    <xf numFmtId="0" fontId="68" fillId="0" borderId="0" xfId="0" applyFont="1" applyAlignment="1">
      <alignment horizontal="center"/>
    </xf>
    <xf numFmtId="0" fontId="49" fillId="0" borderId="0" xfId="0" applyFont="1" applyAlignment="1">
      <alignment horizontal="center"/>
    </xf>
    <xf numFmtId="0" fontId="101" fillId="0" borderId="0" xfId="0" applyFont="1"/>
    <xf numFmtId="0" fontId="101" fillId="0" borderId="0" xfId="0" applyFont="1" applyAlignment="1">
      <alignment horizontal="center"/>
    </xf>
    <xf numFmtId="164" fontId="101" fillId="0" borderId="0" xfId="1" applyFont="1" applyFill="1" applyBorder="1"/>
    <xf numFmtId="0" fontId="55" fillId="14" borderId="0" xfId="0" applyFont="1" applyFill="1" applyAlignment="1">
      <alignment horizontal="right"/>
    </xf>
    <xf numFmtId="0" fontId="55" fillId="14" borderId="0" xfId="0" applyFont="1" applyFill="1" applyAlignment="1">
      <alignment horizontal="center"/>
    </xf>
    <xf numFmtId="0" fontId="103" fillId="0" borderId="0" xfId="0" applyFont="1"/>
    <xf numFmtId="0" fontId="98" fillId="2" borderId="0" xfId="0" applyFont="1" applyFill="1" applyAlignment="1">
      <alignment horizontal="center"/>
    </xf>
    <xf numFmtId="2" fontId="70" fillId="9" borderId="0" xfId="0" applyNumberFormat="1" applyFont="1" applyFill="1" applyAlignment="1">
      <alignment horizontal="center" vertical="top"/>
    </xf>
    <xf numFmtId="0" fontId="73" fillId="9" borderId="0" xfId="0" applyFont="1" applyFill="1" applyAlignment="1">
      <alignment horizontal="left"/>
    </xf>
    <xf numFmtId="0" fontId="72" fillId="9" borderId="0" xfId="0" applyFont="1" applyFill="1" applyAlignment="1">
      <alignment horizontal="center" vertical="top"/>
    </xf>
    <xf numFmtId="2" fontId="74" fillId="9" borderId="0" xfId="0" applyNumberFormat="1" applyFont="1" applyFill="1" applyAlignment="1">
      <alignment horizontal="center" vertical="top"/>
    </xf>
    <xf numFmtId="0" fontId="61" fillId="9" borderId="0" xfId="0" applyFont="1" applyFill="1" applyAlignment="1" applyProtection="1">
      <alignment horizontal="left" vertical="center"/>
      <protection locked="0"/>
    </xf>
    <xf numFmtId="0" fontId="75" fillId="9" borderId="0" xfId="0" applyFont="1" applyFill="1" applyAlignment="1" applyProtection="1">
      <alignment horizontal="left" vertical="center"/>
      <protection locked="0"/>
    </xf>
    <xf numFmtId="0" fontId="75" fillId="9" borderId="27" xfId="0" applyFont="1" applyFill="1" applyBorder="1" applyAlignment="1" applyProtection="1">
      <alignment horizontal="left" vertical="center"/>
      <protection locked="0"/>
    </xf>
    <xf numFmtId="0" fontId="71" fillId="2" borderId="0" xfId="0" applyFont="1" applyFill="1" applyAlignment="1">
      <alignment horizontal="left" vertical="center"/>
    </xf>
    <xf numFmtId="171" fontId="71" fillId="9" borderId="0" xfId="1" applyNumberFormat="1" applyFont="1" applyFill="1" applyBorder="1" applyAlignment="1" applyProtection="1">
      <alignment horizontal="left" vertical="center"/>
      <protection locked="0"/>
    </xf>
    <xf numFmtId="171" fontId="71" fillId="9" borderId="27" xfId="1" applyNumberFormat="1" applyFont="1" applyFill="1" applyBorder="1" applyAlignment="1" applyProtection="1">
      <alignment horizontal="left" vertical="center"/>
      <protection locked="0"/>
    </xf>
    <xf numFmtId="0" fontId="71" fillId="2" borderId="10" xfId="0" applyFont="1" applyFill="1" applyBorder="1" applyAlignment="1">
      <alignment horizontal="center" vertical="center"/>
    </xf>
    <xf numFmtId="0" fontId="71" fillId="2" borderId="0" xfId="0" applyFont="1" applyFill="1" applyAlignment="1">
      <alignment horizontal="center" vertical="center"/>
    </xf>
    <xf numFmtId="0" fontId="71" fillId="2" borderId="0" xfId="0" applyFont="1" applyFill="1" applyAlignment="1">
      <alignment horizontal="left"/>
    </xf>
    <xf numFmtId="0" fontId="61" fillId="12" borderId="0" xfId="0" applyFont="1" applyFill="1" applyAlignment="1" applyProtection="1">
      <alignment horizontal="left" vertical="center"/>
      <protection locked="0"/>
    </xf>
    <xf numFmtId="0" fontId="75" fillId="12" borderId="0" xfId="0" applyFont="1" applyFill="1" applyAlignment="1" applyProtection="1">
      <alignment horizontal="left" vertical="center"/>
      <protection locked="0"/>
    </xf>
    <xf numFmtId="0" fontId="75" fillId="12" borderId="27" xfId="0" applyFont="1" applyFill="1" applyBorder="1" applyAlignment="1" applyProtection="1">
      <alignment horizontal="left" vertical="center"/>
      <protection locked="0"/>
    </xf>
    <xf numFmtId="0" fontId="66" fillId="2" borderId="14" xfId="0" applyFont="1" applyFill="1" applyBorder="1" applyAlignment="1">
      <alignment horizontal="center"/>
    </xf>
    <xf numFmtId="0" fontId="66" fillId="2" borderId="15" xfId="0" applyFont="1" applyFill="1" applyBorder="1" applyAlignment="1">
      <alignment horizontal="center"/>
    </xf>
    <xf numFmtId="0" fontId="66" fillId="2" borderId="16" xfId="0" applyFont="1" applyFill="1" applyBorder="1" applyAlignment="1">
      <alignment horizontal="center"/>
    </xf>
    <xf numFmtId="0" fontId="70" fillId="2" borderId="17" xfId="0" applyFont="1" applyFill="1" applyBorder="1" applyAlignment="1">
      <alignment horizontal="center"/>
    </xf>
    <xf numFmtId="0" fontId="70" fillId="2" borderId="18" xfId="0" applyFont="1" applyFill="1" applyBorder="1" applyAlignment="1">
      <alignment horizontal="center"/>
    </xf>
    <xf numFmtId="0" fontId="70" fillId="2" borderId="19" xfId="0" applyFont="1" applyFill="1" applyBorder="1" applyAlignment="1">
      <alignment horizontal="center"/>
    </xf>
    <xf numFmtId="0" fontId="70" fillId="2" borderId="20" xfId="0" applyFont="1" applyFill="1" applyBorder="1" applyAlignment="1">
      <alignment horizontal="center"/>
    </xf>
    <xf numFmtId="0" fontId="70" fillId="2" borderId="21" xfId="0" applyFont="1" applyFill="1" applyBorder="1" applyAlignment="1">
      <alignment horizontal="center"/>
    </xf>
    <xf numFmtId="0" fontId="70" fillId="2" borderId="22" xfId="0" applyFont="1" applyFill="1" applyBorder="1" applyAlignment="1">
      <alignment horizontal="center"/>
    </xf>
    <xf numFmtId="0" fontId="83" fillId="2" borderId="23" xfId="0" applyFont="1" applyFill="1" applyBorder="1" applyAlignment="1">
      <alignment horizontal="center"/>
    </xf>
    <xf numFmtId="0" fontId="83" fillId="2" borderId="24" xfId="0" applyFont="1" applyFill="1" applyBorder="1" applyAlignment="1">
      <alignment horizontal="center"/>
    </xf>
    <xf numFmtId="0" fontId="83" fillId="2" borderId="25" xfId="0" applyFont="1" applyFill="1" applyBorder="1" applyAlignment="1">
      <alignment horizontal="center"/>
    </xf>
    <xf numFmtId="0" fontId="82" fillId="2" borderId="0" xfId="0" applyFont="1" applyFill="1" applyAlignment="1">
      <alignment horizontal="center"/>
    </xf>
    <xf numFmtId="0" fontId="71" fillId="9" borderId="26" xfId="0" applyFont="1" applyFill="1" applyBorder="1" applyAlignment="1" applyProtection="1">
      <alignment horizontal="left" vertical="center"/>
      <protection locked="0"/>
    </xf>
    <xf numFmtId="0" fontId="71" fillId="9" borderId="0" xfId="0" applyFont="1" applyFill="1" applyAlignment="1" applyProtection="1">
      <alignment horizontal="left" vertical="center"/>
      <protection locked="0"/>
    </xf>
    <xf numFmtId="0" fontId="71" fillId="9" borderId="27" xfId="0" applyFont="1" applyFill="1" applyBorder="1" applyAlignment="1" applyProtection="1">
      <alignment horizontal="left" vertical="center"/>
      <protection locked="0"/>
    </xf>
    <xf numFmtId="0" fontId="71" fillId="2" borderId="0" xfId="0" applyFont="1" applyFill="1" applyAlignment="1">
      <alignment horizontal="left" vertical="top"/>
    </xf>
    <xf numFmtId="0" fontId="70" fillId="9" borderId="0" xfId="0" applyFont="1" applyFill="1" applyAlignment="1">
      <alignment horizontal="center" vertical="top"/>
    </xf>
    <xf numFmtId="0" fontId="74" fillId="9" borderId="0" xfId="0" applyFont="1" applyFill="1" applyAlignment="1">
      <alignment horizontal="center" vertical="top"/>
    </xf>
    <xf numFmtId="0" fontId="71" fillId="9" borderId="0" xfId="0" applyFont="1" applyFill="1" applyAlignment="1">
      <alignment horizontal="left"/>
    </xf>
    <xf numFmtId="0" fontId="80" fillId="2" borderId="5" xfId="0" applyFont="1" applyFill="1" applyBorder="1" applyAlignment="1">
      <alignment horizontal="left"/>
    </xf>
    <xf numFmtId="167" fontId="100" fillId="3" borderId="5" xfId="0" applyNumberFormat="1" applyFont="1" applyFill="1" applyBorder="1" applyAlignment="1">
      <alignment horizontal="left"/>
    </xf>
    <xf numFmtId="170" fontId="70" fillId="3" borderId="5" xfId="0" applyNumberFormat="1" applyFont="1" applyFill="1" applyBorder="1" applyAlignment="1">
      <alignment horizontal="left"/>
    </xf>
    <xf numFmtId="0" fontId="70" fillId="3" borderId="5" xfId="0" applyFont="1" applyFill="1" applyBorder="1" applyAlignment="1">
      <alignment horizontal="left"/>
    </xf>
    <xf numFmtId="0" fontId="75" fillId="0" borderId="0" xfId="0" applyFont="1" applyAlignment="1">
      <alignment horizontal="left" vertical="center"/>
    </xf>
    <xf numFmtId="167" fontId="76" fillId="2" borderId="0" xfId="0" applyNumberFormat="1" applyFont="1" applyFill="1" applyAlignment="1" applyProtection="1">
      <alignment horizontal="left" vertical="center"/>
      <protection locked="0"/>
    </xf>
    <xf numFmtId="173" fontId="76" fillId="2" borderId="0" xfId="0" applyNumberFormat="1" applyFont="1" applyFill="1" applyAlignment="1" applyProtection="1">
      <alignment horizontal="left" vertical="center"/>
      <protection locked="0"/>
    </xf>
    <xf numFmtId="0" fontId="76" fillId="2" borderId="0" xfId="0" applyFont="1" applyFill="1" applyAlignment="1">
      <alignment horizontal="left" vertical="center" wrapText="1"/>
    </xf>
    <xf numFmtId="0" fontId="76" fillId="2" borderId="0" xfId="0" applyFont="1" applyFill="1" applyAlignment="1">
      <alignment horizontal="left" vertical="center"/>
    </xf>
    <xf numFmtId="0" fontId="76" fillId="2" borderId="0" xfId="0" applyFont="1" applyFill="1" applyAlignment="1">
      <alignment horizontal="left"/>
    </xf>
    <xf numFmtId="0" fontId="61" fillId="12" borderId="0" xfId="0" applyFont="1" applyFill="1" applyAlignment="1">
      <alignment horizontal="left" vertical="center"/>
    </xf>
    <xf numFmtId="0" fontId="75" fillId="12" borderId="0" xfId="0" applyFont="1" applyFill="1" applyAlignment="1">
      <alignment horizontal="left" vertical="center"/>
    </xf>
    <xf numFmtId="0" fontId="75" fillId="12" borderId="27" xfId="0" applyFont="1" applyFill="1" applyBorder="1" applyAlignment="1">
      <alignment horizontal="left" vertical="center"/>
    </xf>
    <xf numFmtId="0" fontId="70" fillId="3" borderId="11" xfId="0" applyFont="1" applyFill="1" applyBorder="1" applyAlignment="1">
      <alignment horizontal="center"/>
    </xf>
    <xf numFmtId="0" fontId="70" fillId="3" borderId="12" xfId="0" applyFont="1" applyFill="1" applyBorder="1" applyAlignment="1">
      <alignment horizontal="center"/>
    </xf>
    <xf numFmtId="0" fontId="70" fillId="3" borderId="13" xfId="0" applyFont="1" applyFill="1" applyBorder="1" applyAlignment="1">
      <alignment horizontal="center"/>
    </xf>
    <xf numFmtId="0" fontId="80" fillId="2" borderId="11" xfId="0" applyFont="1" applyFill="1" applyBorder="1" applyAlignment="1">
      <alignment horizontal="center"/>
    </xf>
    <xf numFmtId="0" fontId="80" fillId="2" borderId="12" xfId="0" applyFont="1" applyFill="1" applyBorder="1" applyAlignment="1">
      <alignment horizontal="center"/>
    </xf>
    <xf numFmtId="0" fontId="80" fillId="2" borderId="13" xfId="0" applyFont="1" applyFill="1" applyBorder="1" applyAlignment="1">
      <alignment horizontal="center"/>
    </xf>
    <xf numFmtId="0" fontId="87" fillId="2" borderId="0" xfId="0" applyFont="1" applyFill="1" applyAlignment="1">
      <alignment horizontal="center"/>
    </xf>
    <xf numFmtId="0" fontId="87" fillId="2" borderId="0" xfId="0" applyFont="1" applyFill="1" applyAlignment="1">
      <alignment horizontal="right"/>
    </xf>
    <xf numFmtId="0" fontId="71" fillId="12" borderId="0" xfId="0" applyFont="1" applyFill="1" applyAlignment="1">
      <alignment horizontal="left"/>
    </xf>
    <xf numFmtId="0" fontId="71" fillId="12" borderId="27" xfId="0" applyFont="1" applyFill="1" applyBorder="1" applyAlignment="1">
      <alignment horizontal="left"/>
    </xf>
    <xf numFmtId="164" fontId="58" fillId="9" borderId="6" xfId="0" applyNumberFormat="1" applyFont="1" applyFill="1" applyBorder="1" applyAlignment="1" applyProtection="1">
      <alignment horizontal="left"/>
      <protection locked="0"/>
    </xf>
    <xf numFmtId="164" fontId="71" fillId="9" borderId="7" xfId="0" applyNumberFormat="1" applyFont="1" applyFill="1" applyBorder="1" applyAlignment="1" applyProtection="1">
      <alignment horizontal="left"/>
      <protection locked="0"/>
    </xf>
    <xf numFmtId="164" fontId="71" fillId="9" borderId="9" xfId="0" applyNumberFormat="1" applyFont="1" applyFill="1" applyBorder="1" applyAlignment="1" applyProtection="1">
      <alignment horizontal="left"/>
      <protection locked="0"/>
    </xf>
    <xf numFmtId="0" fontId="75" fillId="2" borderId="0" xfId="0" applyFont="1" applyFill="1" applyAlignment="1">
      <alignment horizontal="left" wrapText="1"/>
    </xf>
    <xf numFmtId="0" fontId="85" fillId="2" borderId="0" xfId="0" applyFont="1" applyFill="1" applyAlignment="1">
      <alignment horizontal="center"/>
    </xf>
    <xf numFmtId="2" fontId="71" fillId="9" borderId="26" xfId="1" applyNumberFormat="1" applyFont="1" applyFill="1" applyBorder="1" applyAlignment="1" applyProtection="1">
      <alignment horizontal="right" vertical="center"/>
      <protection locked="0"/>
    </xf>
    <xf numFmtId="2" fontId="71" fillId="9" borderId="0" xfId="1" applyNumberFormat="1" applyFont="1" applyFill="1" applyBorder="1" applyAlignment="1" applyProtection="1">
      <alignment horizontal="right" vertical="center"/>
      <protection locked="0"/>
    </xf>
    <xf numFmtId="2" fontId="71" fillId="9" borderId="27" xfId="1" applyNumberFormat="1" applyFont="1" applyFill="1" applyBorder="1" applyAlignment="1" applyProtection="1">
      <alignment horizontal="right" vertical="center"/>
      <protection locked="0"/>
    </xf>
    <xf numFmtId="164" fontId="71" fillId="9" borderId="6" xfId="1" applyFont="1" applyFill="1" applyBorder="1" applyAlignment="1" applyProtection="1">
      <alignment horizontal="left" vertical="center"/>
    </xf>
    <xf numFmtId="164" fontId="71" fillId="9" borderId="7" xfId="1" applyFont="1" applyFill="1" applyBorder="1" applyAlignment="1" applyProtection="1">
      <alignment horizontal="left" vertical="center"/>
    </xf>
    <xf numFmtId="164" fontId="71" fillId="9" borderId="9" xfId="1" applyFont="1" applyFill="1" applyBorder="1" applyAlignment="1" applyProtection="1">
      <alignment horizontal="left" vertical="center"/>
    </xf>
    <xf numFmtId="171" fontId="58" fillId="9" borderId="0" xfId="1" applyNumberFormat="1" applyFont="1" applyFill="1" applyBorder="1" applyAlignment="1" applyProtection="1">
      <alignment horizontal="left" vertical="center"/>
      <protection locked="0"/>
    </xf>
    <xf numFmtId="172" fontId="88" fillId="2" borderId="28" xfId="1" applyNumberFormat="1" applyFont="1" applyFill="1" applyBorder="1" applyAlignment="1" applyProtection="1">
      <alignment horizontal="center" vertical="center"/>
    </xf>
    <xf numFmtId="165" fontId="88" fillId="2" borderId="0" xfId="1" applyNumberFormat="1" applyFont="1" applyFill="1" applyBorder="1" applyAlignment="1" applyProtection="1">
      <alignment horizontal="right" wrapText="1"/>
    </xf>
    <xf numFmtId="165" fontId="88" fillId="2" borderId="0" xfId="1" applyNumberFormat="1" applyFont="1" applyFill="1" applyBorder="1" applyAlignment="1" applyProtection="1">
      <alignment horizontal="right" vertical="center"/>
    </xf>
    <xf numFmtId="172" fontId="88" fillId="2" borderId="0" xfId="1" applyNumberFormat="1" applyFont="1" applyFill="1" applyBorder="1" applyAlignment="1" applyProtection="1">
      <alignment horizontal="center" vertical="center"/>
    </xf>
    <xf numFmtId="172" fontId="88" fillId="2" borderId="0" xfId="1" applyNumberFormat="1" applyFont="1" applyFill="1" applyBorder="1" applyAlignment="1" applyProtection="1">
      <alignment horizontal="right" vertical="center"/>
    </xf>
    <xf numFmtId="165" fontId="88" fillId="2" borderId="0" xfId="1" applyNumberFormat="1" applyFont="1" applyFill="1" applyBorder="1" applyAlignment="1" applyProtection="1">
      <alignment horizontal="center" vertical="center"/>
    </xf>
    <xf numFmtId="174" fontId="0" fillId="13" borderId="0" xfId="0" applyNumberFormat="1" applyFill="1" applyAlignment="1">
      <alignment horizontal="center"/>
    </xf>
    <xf numFmtId="0" fontId="0" fillId="13" borderId="0" xfId="0" applyFill="1" applyAlignment="1">
      <alignment horizontal="left"/>
    </xf>
    <xf numFmtId="0" fontId="54" fillId="13" borderId="0" xfId="0" applyFont="1" applyFill="1" applyAlignment="1">
      <alignment horizontal="center"/>
    </xf>
    <xf numFmtId="0" fontId="0" fillId="13" borderId="0" xfId="0" applyFill="1" applyAlignment="1">
      <alignment horizontal="center"/>
    </xf>
    <xf numFmtId="174" fontId="54" fillId="13" borderId="0" xfId="0" applyNumberFormat="1" applyFont="1" applyFill="1" applyAlignment="1">
      <alignment horizontal="left"/>
    </xf>
    <xf numFmtId="0" fontId="94" fillId="2" borderId="0" xfId="0" applyFont="1" applyFill="1" applyAlignment="1">
      <alignment horizontal="center"/>
    </xf>
    <xf numFmtId="0" fontId="87" fillId="2" borderId="28" xfId="0" applyFont="1" applyFill="1" applyBorder="1" applyAlignment="1">
      <alignment horizontal="right"/>
    </xf>
    <xf numFmtId="0" fontId="102" fillId="14" borderId="31" xfId="0" applyFont="1" applyFill="1" applyBorder="1" applyAlignment="1">
      <alignment horizontal="center"/>
    </xf>
    <xf numFmtId="0" fontId="102" fillId="14" borderId="2" xfId="0" applyFont="1" applyFill="1" applyBorder="1" applyAlignment="1">
      <alignment horizontal="center"/>
    </xf>
    <xf numFmtId="0" fontId="102" fillId="14" borderId="32" xfId="0" applyFont="1" applyFill="1" applyBorder="1" applyAlignment="1">
      <alignment horizontal="center"/>
    </xf>
    <xf numFmtId="0" fontId="49" fillId="0" borderId="30" xfId="0" applyFont="1" applyBorder="1" applyAlignment="1">
      <alignment horizontal="center"/>
    </xf>
    <xf numFmtId="0" fontId="0" fillId="0" borderId="0" xfId="0" applyAlignment="1">
      <alignment horizontal="center"/>
    </xf>
    <xf numFmtId="0" fontId="99" fillId="0" borderId="0" xfId="0" applyFont="1" applyAlignment="1">
      <alignment horizontal="left"/>
    </xf>
    <xf numFmtId="0" fontId="57" fillId="0" borderId="0" xfId="0" applyFont="1" applyAlignment="1">
      <alignment horizontal="right" vertical="center"/>
    </xf>
    <xf numFmtId="2" fontId="57" fillId="0" borderId="0" xfId="0" applyNumberFormat="1" applyFont="1" applyAlignment="1">
      <alignment horizontal="right" vertical="center"/>
    </xf>
    <xf numFmtId="2" fontId="57" fillId="0" borderId="0" xfId="0" applyNumberFormat="1" applyFont="1" applyAlignment="1">
      <alignment horizontal="center" vertical="center"/>
    </xf>
    <xf numFmtId="0" fontId="60" fillId="0" borderId="0" xfId="0" applyFont="1" applyAlignment="1">
      <alignment horizontal="left" vertical="center"/>
    </xf>
    <xf numFmtId="0" fontId="57" fillId="0" borderId="1" xfId="0" applyFont="1" applyBorder="1" applyAlignment="1">
      <alignment horizontal="center" vertical="center"/>
    </xf>
    <xf numFmtId="2" fontId="57" fillId="0" borderId="0" xfId="1" applyNumberFormat="1" applyFont="1" applyAlignment="1">
      <alignment horizontal="right" vertical="center"/>
    </xf>
    <xf numFmtId="1" fontId="57" fillId="0" borderId="0" xfId="0" applyNumberFormat="1" applyFont="1" applyAlignment="1">
      <alignment horizontal="center" vertical="center"/>
    </xf>
    <xf numFmtId="1" fontId="57" fillId="0" borderId="0" xfId="0" applyNumberFormat="1" applyFont="1" applyAlignment="1">
      <alignment horizontal="right" vertical="center"/>
    </xf>
    <xf numFmtId="1" fontId="57" fillId="0" borderId="0" xfId="1" applyNumberFormat="1" applyFont="1" applyAlignment="1">
      <alignment horizontal="right" vertical="center"/>
    </xf>
    <xf numFmtId="0" fontId="57" fillId="0" borderId="2" xfId="0" applyFont="1" applyBorder="1" applyAlignment="1">
      <alignment horizontal="right"/>
    </xf>
    <xf numFmtId="2" fontId="57" fillId="0" borderId="0" xfId="1" applyNumberFormat="1" applyFont="1" applyFill="1" applyBorder="1" applyAlignment="1">
      <alignment horizontal="right" vertical="center"/>
    </xf>
    <xf numFmtId="4" fontId="57" fillId="0" borderId="0" xfId="0" applyNumberFormat="1" applyFont="1" applyAlignment="1">
      <alignment horizontal="right" vertical="center"/>
    </xf>
    <xf numFmtId="1" fontId="57" fillId="0" borderId="0" xfId="1" applyNumberFormat="1" applyFont="1" applyFill="1" applyBorder="1" applyAlignment="1">
      <alignment horizontal="right" vertical="center"/>
    </xf>
    <xf numFmtId="2" fontId="57" fillId="0" borderId="1" xfId="0" applyNumberFormat="1" applyFont="1" applyBorder="1" applyAlignment="1">
      <alignment horizontal="right"/>
    </xf>
    <xf numFmtId="0" fontId="57" fillId="0" borderId="0" xfId="0" applyFont="1" applyAlignment="1">
      <alignment horizontal="center" vertical="center"/>
    </xf>
    <xf numFmtId="0" fontId="57" fillId="0" borderId="1" xfId="0" applyFont="1" applyBorder="1" applyAlignment="1">
      <alignment horizontal="right"/>
    </xf>
    <xf numFmtId="0" fontId="57" fillId="0" borderId="1" xfId="0" applyFont="1" applyBorder="1" applyAlignment="1">
      <alignment horizontal="center"/>
    </xf>
    <xf numFmtId="0" fontId="60" fillId="0" borderId="0" xfId="0" applyFont="1" applyAlignment="1">
      <alignment horizontal="center" vertical="center"/>
    </xf>
    <xf numFmtId="0" fontId="57" fillId="0" borderId="0" xfId="0" applyFont="1" applyAlignment="1">
      <alignment horizontal="left" vertical="center"/>
    </xf>
    <xf numFmtId="169" fontId="62" fillId="0" borderId="0" xfId="0" applyNumberFormat="1" applyFont="1" applyAlignment="1">
      <alignment horizontal="left"/>
    </xf>
    <xf numFmtId="0" fontId="62" fillId="0" borderId="0" xfId="0" applyFont="1" applyAlignment="1">
      <alignment horizontal="left"/>
    </xf>
    <xf numFmtId="0" fontId="59" fillId="0" borderId="0" xfId="0" applyFont="1" applyAlignment="1">
      <alignment horizontal="center" vertical="center"/>
    </xf>
    <xf numFmtId="167" fontId="62" fillId="0" borderId="0" xfId="0" applyNumberFormat="1" applyFont="1" applyAlignment="1">
      <alignment horizontal="left"/>
    </xf>
    <xf numFmtId="0" fontId="61" fillId="0" borderId="0" xfId="0" applyFont="1" applyAlignment="1">
      <alignment horizontal="left"/>
    </xf>
    <xf numFmtId="0" fontId="62" fillId="0" borderId="0" xfId="0" applyFont="1" applyAlignment="1">
      <alignment horizontal="center"/>
    </xf>
  </cellXfs>
  <cellStyles count="3">
    <cellStyle name="Comma" xfId="1" builtinId="3"/>
    <cellStyle name="Normal" xfId="0" builtinId="0"/>
    <cellStyle name="Normal 2" xfId="2" xr:uid="{00000000-0005-0000-0000-000002000000}"/>
  </cellStyles>
  <dxfs count="34">
    <dxf>
      <font>
        <b/>
        <i val="0"/>
        <color theme="0"/>
      </font>
      <fill>
        <patternFill>
          <bgColor rgb="FF00CC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CC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Segoe U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Segoe U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Segoe U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Segoe U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Segoe U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Segoe U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Segoe U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Segoe U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Segoe U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Segoe U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Segoe U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Segoe UI"/>
        <scheme val="none"/>
      </font>
      <fill>
        <patternFill patternType="none">
          <fgColor indexed="64"/>
          <bgColor auto="1"/>
        </patternFill>
      </fill>
      <alignment horizontal="center"/>
    </dxf>
    <dxf>
      <font>
        <strike val="0"/>
        <outline val="0"/>
        <shadow val="0"/>
        <u val="none"/>
        <vertAlign val="baseline"/>
        <sz val="10"/>
        <color auto="1"/>
        <name val="Segoe UI"/>
        <scheme val="none"/>
      </font>
      <fill>
        <patternFill patternType="none">
          <fgColor indexed="64"/>
          <bgColor auto="1"/>
        </patternFill>
      </fill>
      <alignment horizontal="center"/>
    </dxf>
    <dxf>
      <font>
        <strike val="0"/>
        <outline val="0"/>
        <shadow val="0"/>
        <u val="none"/>
        <vertAlign val="baseline"/>
        <sz val="10"/>
        <color auto="1"/>
        <name val="Segoe UI"/>
        <scheme val="none"/>
      </font>
      <fill>
        <patternFill patternType="none">
          <fgColor indexed="64"/>
          <bgColor auto="1"/>
        </patternFill>
      </fill>
      <alignment horizontal="center"/>
    </dxf>
    <dxf>
      <font>
        <strike val="0"/>
        <outline val="0"/>
        <shadow val="0"/>
        <u val="none"/>
        <vertAlign val="baseline"/>
        <sz val="10"/>
        <color auto="1"/>
        <name val="Segoe UI"/>
        <scheme val="none"/>
      </font>
      <fill>
        <patternFill patternType="none">
          <fgColor indexed="64"/>
          <bgColor auto="1"/>
        </patternFill>
      </fill>
      <alignment horizontal="center"/>
    </dxf>
    <dxf>
      <font>
        <strike val="0"/>
        <outline val="0"/>
        <shadow val="0"/>
        <u val="none"/>
        <vertAlign val="baseline"/>
        <sz val="10"/>
        <color auto="1"/>
        <name val="Segoe UI"/>
        <scheme val="none"/>
      </font>
      <fill>
        <patternFill patternType="none">
          <fgColor indexed="64"/>
          <bgColor auto="1"/>
        </patternFill>
      </fill>
      <alignment horizontal="center"/>
    </dxf>
    <dxf>
      <font>
        <strike val="0"/>
        <outline val="0"/>
        <shadow val="0"/>
        <u val="none"/>
        <vertAlign val="baseline"/>
        <sz val="10"/>
        <color auto="1"/>
        <name val="Segoe UI"/>
        <scheme val="none"/>
      </font>
      <fill>
        <patternFill patternType="none">
          <fgColor indexed="64"/>
          <bgColor auto="1"/>
        </patternFill>
      </fill>
      <alignment horizontal="center"/>
    </dxf>
    <dxf>
      <font>
        <strike val="0"/>
        <outline val="0"/>
        <shadow val="0"/>
        <u val="none"/>
        <vertAlign val="baseline"/>
        <sz val="10"/>
        <color auto="1"/>
        <name val="Segoe UI"/>
        <scheme val="none"/>
      </font>
      <fill>
        <patternFill patternType="none">
          <fgColor indexed="64"/>
          <bgColor auto="1"/>
        </patternFill>
      </fill>
      <alignment horizontal="center"/>
    </dxf>
    <dxf>
      <font>
        <strike val="0"/>
        <outline val="0"/>
        <shadow val="0"/>
        <u val="none"/>
        <vertAlign val="baseline"/>
        <sz val="10"/>
        <color auto="1"/>
        <name val="Segoe UI"/>
        <scheme val="none"/>
      </font>
      <fill>
        <patternFill patternType="none">
          <fgColor indexed="64"/>
          <bgColor auto="1"/>
        </patternFill>
      </fill>
      <alignment horizontal="center"/>
    </dxf>
    <dxf>
      <font>
        <strike val="0"/>
        <outline val="0"/>
        <shadow val="0"/>
        <u val="none"/>
        <vertAlign val="baseline"/>
        <sz val="10"/>
        <color auto="1"/>
        <name val="Segoe UI"/>
        <scheme val="none"/>
      </font>
      <fill>
        <patternFill patternType="none">
          <fgColor indexed="64"/>
          <bgColor auto="1"/>
        </patternFill>
      </fill>
      <alignment horizontal="center"/>
    </dxf>
    <dxf>
      <font>
        <strike val="0"/>
        <outline val="0"/>
        <shadow val="0"/>
        <u val="none"/>
        <vertAlign val="baseline"/>
        <sz val="10"/>
        <color auto="1"/>
        <name val="Segoe UI"/>
        <scheme val="none"/>
      </font>
      <fill>
        <patternFill patternType="none">
          <fgColor indexed="64"/>
          <bgColor auto="1"/>
        </patternFill>
      </fill>
      <alignment horizontal="center"/>
    </dxf>
    <dxf>
      <font>
        <strike val="0"/>
        <outline val="0"/>
        <shadow val="0"/>
        <u val="none"/>
        <vertAlign val="baseline"/>
        <sz val="10"/>
        <color auto="1"/>
        <name val="Segoe UI"/>
        <scheme val="none"/>
      </font>
      <fill>
        <patternFill patternType="none">
          <fgColor indexed="64"/>
          <bgColor auto="1"/>
        </patternFill>
      </fill>
      <alignment horizontal="center"/>
    </dxf>
    <dxf>
      <font>
        <strike val="0"/>
        <outline val="0"/>
        <shadow val="0"/>
        <u val="none"/>
        <vertAlign val="baseline"/>
        <sz val="10"/>
        <color auto="1"/>
        <name val="Segoe U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Segoe UI"/>
        <scheme val="none"/>
      </font>
      <fill>
        <patternFill patternType="none">
          <fgColor indexed="64"/>
          <bgColor auto="1"/>
        </patternFill>
      </fill>
    </dxf>
    <dxf>
      <font>
        <color theme="0" tint="-4.9989318521683403E-2"/>
      </font>
    </dxf>
    <dxf>
      <font>
        <color rgb="FF00FF00"/>
      </font>
      <fill>
        <patternFill>
          <bgColor rgb="FF00FF00"/>
        </patternFill>
      </fill>
    </dxf>
    <dxf>
      <font>
        <color rgb="FF00FF00"/>
      </font>
      <fill>
        <patternFill>
          <bgColor rgb="FF00FF00"/>
        </patternFill>
      </fill>
    </dxf>
    <dxf>
      <font>
        <color rgb="FF00FF00"/>
      </font>
      <fill>
        <patternFill>
          <bgColor rgb="FF00FF00"/>
        </patternFill>
      </fill>
    </dxf>
    <dxf>
      <font>
        <color rgb="FF00FF00"/>
      </font>
      <fill>
        <patternFill>
          <bgColor rgb="FF00FF00"/>
        </patternFill>
      </fill>
    </dxf>
    <dxf>
      <font>
        <color rgb="FF00FF00"/>
      </font>
      <fill>
        <patternFill>
          <bgColor rgb="FF00FF00"/>
        </patternFill>
      </fill>
    </dxf>
  </dxfs>
  <tableStyles count="0" defaultTableStyle="TableStyleMedium2" defaultPivotStyle="PivotStyleLight16"/>
  <colors>
    <mruColors>
      <color rgb="FFF9F9F9"/>
      <color rgb="FF00FF00"/>
      <color rgb="FFFFF6DD"/>
      <color rgb="FFFFFF66"/>
      <color rgb="FFCCFFCC"/>
      <color rgb="FF99FF99"/>
      <color rgb="FF6600FF"/>
      <color rgb="FFFFFAEB"/>
      <color rgb="FFFFFF99"/>
      <color rgb="FFFF96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Spin" dx="31" fmlaLink="$AN$26" max="30000" page="10" val="8338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</xdr:row>
      <xdr:rowOff>31749</xdr:rowOff>
    </xdr:from>
    <xdr:to>
      <xdr:col>87</xdr:col>
      <xdr:colOff>2181225</xdr:colOff>
      <xdr:row>2</xdr:row>
      <xdr:rowOff>57926</xdr:rowOff>
    </xdr:to>
    <xdr:sp macro="[0]!Rectangle33_Click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/>
        </xdr:cNvSpPr>
      </xdr:nvSpPr>
      <xdr:spPr>
        <a:xfrm>
          <a:off x="0" y="215899"/>
          <a:ext cx="18107025" cy="210327"/>
        </a:xfrm>
        <a:prstGeom prst="rect">
          <a:avLst/>
        </a:prstGeom>
        <a:solidFill>
          <a:srgbClr val="F9F9F9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E" sz="1000" b="0">
              <a:solidFill>
                <a:schemeClr val="tx1">
                  <a:lumMod val="85000"/>
                  <a:lumOff val="15000"/>
                </a:schemeClr>
              </a:solidFill>
              <a:effectLst>
                <a:outerShdw blurRad="50800" dist="38100" dir="2700000" algn="tl" rotWithShape="0">
                  <a:prstClr val="black">
                    <a:alpha val="21000"/>
                  </a:prstClr>
                </a:outerShdw>
              </a:effectLst>
              <a:latin typeface="Calibri Light" panose="020F0302020204030204" pitchFamily="34" charset="0"/>
              <a:ea typeface="Calibri Light" panose="020F0302020204030204" pitchFamily="34" charset="0"/>
              <a:cs typeface="Calibri Light" panose="020F0302020204030204" pitchFamily="34" charset="0"/>
            </a:rPr>
            <a:t>Master </a:t>
          </a:r>
          <a:r>
            <a:rPr lang="en-AE" sz="1000" b="0" baseline="0">
              <a:solidFill>
                <a:schemeClr val="tx1">
                  <a:lumMod val="85000"/>
                  <a:lumOff val="15000"/>
                </a:schemeClr>
              </a:solidFill>
              <a:effectLst>
                <a:outerShdw blurRad="50800" dist="38100" dir="2700000" algn="tl" rotWithShape="0">
                  <a:prstClr val="black">
                    <a:alpha val="21000"/>
                  </a:prstClr>
                </a:outerShdw>
              </a:effectLst>
              <a:latin typeface="Calibri Light" panose="020F0302020204030204" pitchFamily="34" charset="0"/>
              <a:ea typeface="Calibri Light" panose="020F0302020204030204" pitchFamily="34" charset="0"/>
              <a:cs typeface="Calibri Light" panose="020F0302020204030204" pitchFamily="34" charset="0"/>
            </a:rPr>
            <a:t>     Plant setup     Start Production   Alarm View   Divert Concrete   Options    Help   Quit </a:t>
          </a:r>
          <a:endParaRPr lang="en-AE" sz="1000" b="0">
            <a:solidFill>
              <a:schemeClr val="tx1">
                <a:lumMod val="85000"/>
                <a:lumOff val="15000"/>
              </a:schemeClr>
            </a:solidFill>
            <a:effectLst>
              <a:outerShdw blurRad="50800" dist="38100" dir="2700000" algn="tl" rotWithShape="0">
                <a:prstClr val="black">
                  <a:alpha val="21000"/>
                </a:prstClr>
              </a:outerShdw>
            </a:effectLst>
            <a:latin typeface="Calibri Light" panose="020F0302020204030204" pitchFamily="34" charset="0"/>
            <a:ea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PrintsWithSheet="0"/>
  </xdr:twoCellAnchor>
  <xdr:twoCellAnchor editAs="absolute">
    <xdr:from>
      <xdr:col>0</xdr:col>
      <xdr:colOff>0</xdr:colOff>
      <xdr:row>0</xdr:row>
      <xdr:rowOff>0</xdr:rowOff>
    </xdr:from>
    <xdr:to>
      <xdr:col>87</xdr:col>
      <xdr:colOff>2181225</xdr:colOff>
      <xdr:row>1</xdr:row>
      <xdr:rowOff>26286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/>
        </xdr:cNvSpPr>
      </xdr:nvSpPr>
      <xdr:spPr>
        <a:xfrm>
          <a:off x="0" y="0"/>
          <a:ext cx="17373600" cy="216786"/>
        </a:xfrm>
        <a:prstGeom prst="rect">
          <a:avLst/>
        </a:prstGeom>
        <a:solidFill>
          <a:srgbClr val="EEF7E9"/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E" sz="1000" b="1">
              <a:solidFill>
                <a:schemeClr val="tx1">
                  <a:lumMod val="65000"/>
                  <a:lumOff val="35000"/>
                </a:schemeClr>
              </a:solidFill>
              <a:effectLst/>
              <a:latin typeface="Calibri Light" panose="020F0302020204030204" pitchFamily="34" charset="0"/>
              <a:ea typeface="Calibri Light" panose="020F0302020204030204" pitchFamily="34" charset="0"/>
              <a:cs typeface="Calibri Light" panose="020F0302020204030204" pitchFamily="34" charset="0"/>
            </a:rPr>
            <a:t>     Schwing</a:t>
          </a:r>
          <a:r>
            <a:rPr lang="en-AE" sz="1000" b="1" baseline="0">
              <a:solidFill>
                <a:schemeClr val="tx1">
                  <a:lumMod val="65000"/>
                  <a:lumOff val="35000"/>
                </a:schemeClr>
              </a:solidFill>
              <a:effectLst/>
              <a:latin typeface="Calibri Light" panose="020F0302020204030204" pitchFamily="34" charset="0"/>
              <a:ea typeface="Calibri Light" panose="020F0302020204030204" pitchFamily="34" charset="0"/>
              <a:cs typeface="Calibri Light" panose="020F0302020204030204" pitchFamily="34" charset="0"/>
            </a:rPr>
            <a:t> Stetter MCI370 Control System..</a:t>
          </a:r>
          <a:endParaRPr lang="en-AE" sz="1000" b="1">
            <a:solidFill>
              <a:schemeClr val="tx1">
                <a:lumMod val="65000"/>
                <a:lumOff val="35000"/>
              </a:schemeClr>
            </a:solidFill>
            <a:effectLst/>
            <a:latin typeface="Calibri Light" panose="020F0302020204030204" pitchFamily="34" charset="0"/>
            <a:ea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 fPrintsWithSheet="0"/>
  </xdr:twoCellAnchor>
  <xdr:twoCellAnchor editAs="absolute">
    <xdr:from>
      <xdr:col>0</xdr:col>
      <xdr:colOff>11544</xdr:colOff>
      <xdr:row>0</xdr:row>
      <xdr:rowOff>9236</xdr:rowOff>
    </xdr:from>
    <xdr:to>
      <xdr:col>0</xdr:col>
      <xdr:colOff>181839</xdr:colOff>
      <xdr:row>0</xdr:row>
      <xdr:rowOff>177981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68" t="11020" r="71079" b="11331"/>
        <a:stretch/>
      </xdr:blipFill>
      <xdr:spPr>
        <a:xfrm>
          <a:off x="11544" y="9236"/>
          <a:ext cx="170295" cy="168745"/>
        </a:xfrm>
        <a:prstGeom prst="rect">
          <a:avLst/>
        </a:prstGeom>
        <a:ln w="3175">
          <a:solidFill>
            <a:schemeClr val="tx1"/>
          </a:solidFill>
        </a:ln>
      </xdr:spPr>
    </xdr:pic>
    <xdr:clientData fPrintsWithSheet="0"/>
  </xdr:twoCellAnchor>
  <xdr:twoCellAnchor editAs="absolute">
    <xdr:from>
      <xdr:col>4</xdr:col>
      <xdr:colOff>11306</xdr:colOff>
      <xdr:row>3</xdr:row>
      <xdr:rowOff>51575</xdr:rowOff>
    </xdr:from>
    <xdr:to>
      <xdr:col>20</xdr:col>
      <xdr:colOff>705</xdr:colOff>
      <xdr:row>5</xdr:row>
      <xdr:rowOff>12390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pSpPr>
          <a:grpSpLocks noChangeAspect="1"/>
        </xdr:cNvGrpSpPr>
      </xdr:nvGrpSpPr>
      <xdr:grpSpPr>
        <a:xfrm>
          <a:off x="845144" y="609605"/>
          <a:ext cx="2574298" cy="223795"/>
          <a:chOff x="785696" y="599843"/>
          <a:chExt cx="2385432" cy="227206"/>
        </a:xfrm>
      </xdr:grpSpPr>
      <xdr:cxnSp macro="">
        <xdr:nvCxnSpPr>
          <xdr:cNvPr id="8" name="Straight Connector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CxnSpPr/>
        </xdr:nvCxnSpPr>
        <xdr:spPr>
          <a:xfrm>
            <a:off x="1530970" y="733502"/>
            <a:ext cx="1640158" cy="0"/>
          </a:xfrm>
          <a:prstGeom prst="line">
            <a:avLst/>
          </a:prstGeom>
          <a:ln w="12700">
            <a:solidFill>
              <a:schemeClr val="bg1">
                <a:lumMod val="9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785696" y="599843"/>
            <a:ext cx="826429" cy="22720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E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Aggregate</a:t>
            </a:r>
          </a:p>
        </xdr:txBody>
      </xdr:sp>
      <xdr:cxnSp macro="">
        <xdr:nvCxnSpPr>
          <xdr:cNvPr id="13" name="Straight Connector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786780" y="727927"/>
            <a:ext cx="96024" cy="0"/>
          </a:xfrm>
          <a:prstGeom prst="line">
            <a:avLst/>
          </a:prstGeom>
          <a:ln w="12700">
            <a:solidFill>
              <a:schemeClr val="bg1">
                <a:lumMod val="9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 fPrintsWithSheet="0"/>
  </xdr:twoCellAnchor>
  <xdr:twoCellAnchor editAs="absolute">
    <xdr:from>
      <xdr:col>21</xdr:col>
      <xdr:colOff>16107</xdr:colOff>
      <xdr:row>3</xdr:row>
      <xdr:rowOff>61486</xdr:rowOff>
    </xdr:from>
    <xdr:to>
      <xdr:col>36</xdr:col>
      <xdr:colOff>1931</xdr:colOff>
      <xdr:row>5</xdr:row>
      <xdr:rowOff>22301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>
          <a:grpSpLocks noChangeAspect="1"/>
        </xdr:cNvGrpSpPr>
      </xdr:nvGrpSpPr>
      <xdr:grpSpPr>
        <a:xfrm>
          <a:off x="3563127" y="619516"/>
          <a:ext cx="2564309" cy="223795"/>
          <a:chOff x="783682" y="599843"/>
          <a:chExt cx="2393794" cy="227206"/>
        </a:xfrm>
      </xdr:grpSpPr>
      <xdr:cxnSp macro="">
        <xdr:nvCxnSpPr>
          <xdr:cNvPr id="27" name="Straight Connector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CxnSpPr/>
        </xdr:nvCxnSpPr>
        <xdr:spPr>
          <a:xfrm>
            <a:off x="1387086" y="733501"/>
            <a:ext cx="1790390" cy="0"/>
          </a:xfrm>
          <a:prstGeom prst="line">
            <a:avLst/>
          </a:prstGeom>
          <a:ln w="12700">
            <a:solidFill>
              <a:schemeClr val="bg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8" name="TextBox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 txBox="1"/>
        </xdr:nvSpPr>
        <xdr:spPr>
          <a:xfrm>
            <a:off x="804744" y="599843"/>
            <a:ext cx="661794" cy="22720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AE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Cement</a:t>
            </a:r>
          </a:p>
        </xdr:txBody>
      </xdr:sp>
      <xdr:cxnSp macro="">
        <xdr:nvCxnSpPr>
          <xdr:cNvPr id="29" name="Straight Connector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CxnSpPr/>
        </xdr:nvCxnSpPr>
        <xdr:spPr>
          <a:xfrm>
            <a:off x="783682" y="727927"/>
            <a:ext cx="96024" cy="0"/>
          </a:xfrm>
          <a:prstGeom prst="line">
            <a:avLst/>
          </a:prstGeom>
          <a:ln w="12700">
            <a:solidFill>
              <a:schemeClr val="bg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 fPrintsWithSheet="0"/>
  </xdr:twoCellAnchor>
  <xdr:twoCellAnchor editAs="absolute">
    <xdr:from>
      <xdr:col>37</xdr:col>
      <xdr:colOff>53362</xdr:colOff>
      <xdr:row>4</xdr:row>
      <xdr:rowOff>1847</xdr:rowOff>
    </xdr:from>
    <xdr:to>
      <xdr:col>52</xdr:col>
      <xdr:colOff>133892</xdr:colOff>
      <xdr:row>5</xdr:row>
      <xdr:rowOff>35311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pSpPr>
          <a:grpSpLocks noChangeAspect="1"/>
        </xdr:cNvGrpSpPr>
      </xdr:nvGrpSpPr>
      <xdr:grpSpPr>
        <a:xfrm>
          <a:off x="6236594" y="636847"/>
          <a:ext cx="2569217" cy="219474"/>
          <a:chOff x="783682" y="599843"/>
          <a:chExt cx="2390078" cy="227206"/>
        </a:xfrm>
      </xdr:grpSpPr>
      <xdr:cxnSp macro="">
        <xdr:nvCxnSpPr>
          <xdr:cNvPr id="34" name="Straight Connector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CxnSpPr/>
        </xdr:nvCxnSpPr>
        <xdr:spPr>
          <a:xfrm>
            <a:off x="1300344" y="733501"/>
            <a:ext cx="1873416" cy="2480"/>
          </a:xfrm>
          <a:prstGeom prst="line">
            <a:avLst/>
          </a:prstGeom>
          <a:ln w="12700">
            <a:solidFill>
              <a:schemeClr val="bg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" name="TextBox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 txBox="1"/>
        </xdr:nvSpPr>
        <xdr:spPr>
          <a:xfrm>
            <a:off x="804744" y="599843"/>
            <a:ext cx="661794" cy="22720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AE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Water</a:t>
            </a:r>
          </a:p>
        </xdr:txBody>
      </xdr:sp>
      <xdr:cxnSp macro="">
        <xdr:nvCxnSpPr>
          <xdr:cNvPr id="36" name="Straight Connector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CxnSpPr/>
        </xdr:nvCxnSpPr>
        <xdr:spPr>
          <a:xfrm>
            <a:off x="783682" y="727927"/>
            <a:ext cx="96024" cy="0"/>
          </a:xfrm>
          <a:prstGeom prst="line">
            <a:avLst/>
          </a:prstGeom>
          <a:ln w="12700">
            <a:solidFill>
              <a:schemeClr val="bg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 fPrintsWithSheet="0"/>
  </xdr:twoCellAnchor>
  <xdr:twoCellAnchor editAs="absolute">
    <xdr:from>
      <xdr:col>54</xdr:col>
      <xdr:colOff>42575</xdr:colOff>
      <xdr:row>4</xdr:row>
      <xdr:rowOff>3643</xdr:rowOff>
    </xdr:from>
    <xdr:to>
      <xdr:col>69</xdr:col>
      <xdr:colOff>55619</xdr:colOff>
      <xdr:row>5</xdr:row>
      <xdr:rowOff>40658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GrpSpPr>
          <a:grpSpLocks noChangeAspect="1"/>
        </xdr:cNvGrpSpPr>
      </xdr:nvGrpSpPr>
      <xdr:grpSpPr>
        <a:xfrm>
          <a:off x="8971060" y="638643"/>
          <a:ext cx="2597943" cy="223025"/>
          <a:chOff x="783682" y="599843"/>
          <a:chExt cx="2406599" cy="227206"/>
        </a:xfrm>
      </xdr:grpSpPr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CxnSpPr/>
        </xdr:nvCxnSpPr>
        <xdr:spPr>
          <a:xfrm>
            <a:off x="2448945" y="735981"/>
            <a:ext cx="741336" cy="0"/>
          </a:xfrm>
          <a:prstGeom prst="line">
            <a:avLst/>
          </a:prstGeom>
          <a:ln w="12700">
            <a:solidFill>
              <a:schemeClr val="bg1">
                <a:lumMod val="9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 txBox="1"/>
        </xdr:nvSpPr>
        <xdr:spPr>
          <a:xfrm>
            <a:off x="804743" y="599843"/>
            <a:ext cx="1815156" cy="22720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AE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Admixture / Silica</a:t>
            </a:r>
            <a:r>
              <a:rPr lang="en-AE" sz="1100" b="1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(or) Ice</a:t>
            </a:r>
            <a:endParaRPr lang="en-AE" sz="1100" b="1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CxnSpPr/>
        </xdr:nvCxnSpPr>
        <xdr:spPr>
          <a:xfrm>
            <a:off x="783682" y="727927"/>
            <a:ext cx="96024" cy="0"/>
          </a:xfrm>
          <a:prstGeom prst="line">
            <a:avLst/>
          </a:prstGeom>
          <a:ln w="12700">
            <a:solidFill>
              <a:schemeClr val="bg1">
                <a:lumMod val="9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 fPrintsWithSheet="0"/>
  </xdr:twoCellAnchor>
  <xdr:twoCellAnchor editAs="absolute">
    <xdr:from>
      <xdr:col>69</xdr:col>
      <xdr:colOff>47792</xdr:colOff>
      <xdr:row>4</xdr:row>
      <xdr:rowOff>123992</xdr:rowOff>
    </xdr:from>
    <xdr:to>
      <xdr:col>69</xdr:col>
      <xdr:colOff>51134</xdr:colOff>
      <xdr:row>16</xdr:row>
      <xdr:rowOff>144045</xdr:rowOff>
    </xdr:to>
    <xdr:cxnSp macro="">
      <xdr:nvCxnSpPr>
        <xdr:cNvPr id="44" name="Straight Connector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CxnSpPr>
          <a:cxnSpLocks noChangeAspect="1"/>
        </xdr:cNvCxnSpPr>
      </xdr:nvCxnSpPr>
      <xdr:spPr>
        <a:xfrm flipV="1">
          <a:off x="10934867" y="771692"/>
          <a:ext cx="3342" cy="2058403"/>
        </a:xfrm>
        <a:prstGeom prst="line">
          <a:avLst/>
        </a:prstGeom>
        <a:ln w="12700">
          <a:solidFill>
            <a:schemeClr val="bg1">
              <a:lumMod val="95000"/>
            </a:schemeClr>
          </a:solidFill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54</xdr:col>
      <xdr:colOff>38884</xdr:colOff>
      <xdr:row>4</xdr:row>
      <xdr:rowOff>130342</xdr:rowOff>
    </xdr:from>
    <xdr:to>
      <xdr:col>54</xdr:col>
      <xdr:colOff>42226</xdr:colOff>
      <xdr:row>16</xdr:row>
      <xdr:rowOff>150395</xdr:rowOff>
    </xdr:to>
    <xdr:cxnSp macro="">
      <xdr:nvCxnSpPr>
        <xdr:cNvPr id="48" name="Straight Connector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CxnSpPr>
          <a:cxnSpLocks noChangeAspect="1"/>
        </xdr:cNvCxnSpPr>
      </xdr:nvCxnSpPr>
      <xdr:spPr>
        <a:xfrm flipV="1">
          <a:off x="8487559" y="778042"/>
          <a:ext cx="3342" cy="2058403"/>
        </a:xfrm>
        <a:prstGeom prst="line">
          <a:avLst/>
        </a:prstGeom>
        <a:ln w="12700">
          <a:solidFill>
            <a:schemeClr val="bg1"/>
          </a:solidFill>
        </a:ln>
        <a:scene3d>
          <a:camera prst="orthographicFront"/>
          <a:lightRig rig="threePt" dir="t"/>
        </a:scene3d>
        <a:sp3d>
          <a:bevelT prst="convex"/>
        </a:sp3d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54</xdr:col>
      <xdr:colOff>36879</xdr:colOff>
      <xdr:row>16</xdr:row>
      <xdr:rowOff>158750</xdr:rowOff>
    </xdr:from>
    <xdr:to>
      <xdr:col>69</xdr:col>
      <xdr:colOff>80352</xdr:colOff>
      <xdr:row>16</xdr:row>
      <xdr:rowOff>165100</xdr:rowOff>
    </xdr:to>
    <xdr:cxnSp macro="">
      <xdr:nvCxnSpPr>
        <xdr:cNvPr id="50" name="Straight Connector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CxnSpPr>
          <a:cxnSpLocks noChangeAspect="1"/>
        </xdr:cNvCxnSpPr>
      </xdr:nvCxnSpPr>
      <xdr:spPr>
        <a:xfrm flipV="1">
          <a:off x="8485554" y="2844800"/>
          <a:ext cx="2481873" cy="6350"/>
        </a:xfrm>
        <a:prstGeom prst="line">
          <a:avLst/>
        </a:prstGeom>
        <a:ln w="12700">
          <a:solidFill>
            <a:schemeClr val="bg1"/>
          </a:solidFill>
        </a:ln>
        <a:scene3d>
          <a:camera prst="orthographicFront"/>
          <a:lightRig rig="threePt" dir="t"/>
        </a:scene3d>
        <a:sp3d>
          <a:bevelT prst="convex"/>
        </a:sp3d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20</xdr:col>
      <xdr:colOff>114300</xdr:colOff>
      <xdr:row>12</xdr:row>
      <xdr:rowOff>171450</xdr:rowOff>
    </xdr:from>
    <xdr:to>
      <xdr:col>36</xdr:col>
      <xdr:colOff>245</xdr:colOff>
      <xdr:row>12</xdr:row>
      <xdr:rowOff>177800</xdr:rowOff>
    </xdr:to>
    <xdr:cxnSp macro="">
      <xdr:nvCxnSpPr>
        <xdr:cNvPr id="63" name="Straight Connector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CxnSpPr>
          <a:cxnSpLocks noChangeAspect="1"/>
        </xdr:cNvCxnSpPr>
      </xdr:nvCxnSpPr>
      <xdr:spPr>
        <a:xfrm flipV="1">
          <a:off x="3343275" y="2343150"/>
          <a:ext cx="2448170" cy="6350"/>
        </a:xfrm>
        <a:prstGeom prst="line">
          <a:avLst/>
        </a:prstGeom>
        <a:ln w="12700">
          <a:solidFill>
            <a:schemeClr val="bg1"/>
          </a:solidFill>
        </a:ln>
        <a:scene3d>
          <a:camera prst="orthographicFront"/>
          <a:lightRig rig="threePt" dir="t"/>
        </a:scene3d>
        <a:sp3d>
          <a:bevelT prst="convex"/>
        </a:sp3d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4</xdr:col>
      <xdr:colOff>6350</xdr:colOff>
      <xdr:row>12</xdr:row>
      <xdr:rowOff>184150</xdr:rowOff>
    </xdr:from>
    <xdr:to>
      <xdr:col>20</xdr:col>
      <xdr:colOff>25400</xdr:colOff>
      <xdr:row>13</xdr:row>
      <xdr:rowOff>2867</xdr:rowOff>
    </xdr:to>
    <xdr:cxnSp macro="">
      <xdr:nvCxnSpPr>
        <xdr:cNvPr id="64" name="Straight Connector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CxnSpPr>
          <a:cxnSpLocks noChangeAspect="1"/>
        </xdr:cNvCxnSpPr>
      </xdr:nvCxnSpPr>
      <xdr:spPr>
        <a:xfrm flipV="1">
          <a:off x="787400" y="2355850"/>
          <a:ext cx="2466975" cy="15567"/>
        </a:xfrm>
        <a:prstGeom prst="line">
          <a:avLst/>
        </a:prstGeom>
        <a:ln w="12700">
          <a:solidFill>
            <a:schemeClr val="bg1"/>
          </a:solidFill>
        </a:ln>
        <a:scene3d>
          <a:camera prst="orthographicFront"/>
          <a:lightRig rig="threePt" dir="t"/>
        </a:scene3d>
        <a:sp3d>
          <a:bevelT prst="convex"/>
        </a:sp3d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37</xdr:col>
      <xdr:colOff>42985</xdr:colOff>
      <xdr:row>12</xdr:row>
      <xdr:rowOff>170510</xdr:rowOff>
    </xdr:from>
    <xdr:to>
      <xdr:col>52</xdr:col>
      <xdr:colOff>159726</xdr:colOff>
      <xdr:row>12</xdr:row>
      <xdr:rowOff>176860</xdr:rowOff>
    </xdr:to>
    <xdr:cxnSp macro="">
      <xdr:nvCxnSpPr>
        <xdr:cNvPr id="65" name="Straight Connector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CxnSpPr>
          <a:cxnSpLocks noChangeAspect="1"/>
        </xdr:cNvCxnSpPr>
      </xdr:nvCxnSpPr>
      <xdr:spPr>
        <a:xfrm flipV="1">
          <a:off x="5891335" y="2342210"/>
          <a:ext cx="2469416" cy="6350"/>
        </a:xfrm>
        <a:prstGeom prst="line">
          <a:avLst/>
        </a:prstGeom>
        <a:ln w="12700">
          <a:solidFill>
            <a:schemeClr val="bg1"/>
          </a:solidFill>
        </a:ln>
        <a:scene3d>
          <a:camera prst="orthographicFront"/>
          <a:lightRig rig="threePt" dir="t"/>
        </a:scene3d>
        <a:sp3d>
          <a:bevelT prst="convex"/>
        </a:sp3d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21</xdr:col>
      <xdr:colOff>474</xdr:colOff>
      <xdr:row>4</xdr:row>
      <xdr:rowOff>104942</xdr:rowOff>
    </xdr:from>
    <xdr:to>
      <xdr:col>21</xdr:col>
      <xdr:colOff>474</xdr:colOff>
      <xdr:row>12</xdr:row>
      <xdr:rowOff>184150</xdr:rowOff>
    </xdr:to>
    <xdr:cxnSp macro="">
      <xdr:nvCxnSpPr>
        <xdr:cNvPr id="66" name="Straight Connector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CxnSpPr>
          <a:cxnSpLocks noChangeAspect="1"/>
        </xdr:cNvCxnSpPr>
      </xdr:nvCxnSpPr>
      <xdr:spPr>
        <a:xfrm flipV="1">
          <a:off x="3353274" y="752642"/>
          <a:ext cx="0" cy="1603208"/>
        </a:xfrm>
        <a:prstGeom prst="line">
          <a:avLst/>
        </a:prstGeom>
        <a:ln w="12700">
          <a:solidFill>
            <a:schemeClr val="bg1"/>
          </a:solidFill>
        </a:ln>
        <a:scene3d>
          <a:camera prst="orthographicFront"/>
          <a:lightRig rig="threePt" dir="t"/>
        </a:scene3d>
        <a:sp3d>
          <a:bevelT prst="convex"/>
        </a:sp3d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36</xdr:col>
      <xdr:colOff>4126</xdr:colOff>
      <xdr:row>4</xdr:row>
      <xdr:rowOff>104942</xdr:rowOff>
    </xdr:from>
    <xdr:to>
      <xdr:col>36</xdr:col>
      <xdr:colOff>4126</xdr:colOff>
      <xdr:row>12</xdr:row>
      <xdr:rowOff>184150</xdr:rowOff>
    </xdr:to>
    <xdr:cxnSp macro="">
      <xdr:nvCxnSpPr>
        <xdr:cNvPr id="68" name="Straight Connector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CxnSpPr>
          <a:cxnSpLocks noChangeAspect="1"/>
        </xdr:cNvCxnSpPr>
      </xdr:nvCxnSpPr>
      <xdr:spPr>
        <a:xfrm flipV="1">
          <a:off x="5795326" y="752642"/>
          <a:ext cx="0" cy="1603208"/>
        </a:xfrm>
        <a:prstGeom prst="line">
          <a:avLst/>
        </a:prstGeom>
        <a:ln w="12700">
          <a:solidFill>
            <a:schemeClr val="bg1"/>
          </a:solidFill>
        </a:ln>
        <a:scene3d>
          <a:camera prst="orthographicFront"/>
          <a:lightRig rig="threePt" dir="t"/>
        </a:scene3d>
        <a:sp3d>
          <a:bevelT prst="convex"/>
        </a:sp3d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37</xdr:col>
      <xdr:colOff>48332</xdr:colOff>
      <xdr:row>4</xdr:row>
      <xdr:rowOff>123992</xdr:rowOff>
    </xdr:from>
    <xdr:to>
      <xdr:col>37</xdr:col>
      <xdr:colOff>48332</xdr:colOff>
      <xdr:row>13</xdr:row>
      <xdr:rowOff>12700</xdr:rowOff>
    </xdr:to>
    <xdr:cxnSp macro="">
      <xdr:nvCxnSpPr>
        <xdr:cNvPr id="69" name="Straight Connector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CxnSpPr>
          <a:cxnSpLocks noChangeAspect="1"/>
        </xdr:cNvCxnSpPr>
      </xdr:nvCxnSpPr>
      <xdr:spPr>
        <a:xfrm flipV="1">
          <a:off x="5896682" y="771692"/>
          <a:ext cx="0" cy="1612733"/>
        </a:xfrm>
        <a:prstGeom prst="line">
          <a:avLst/>
        </a:prstGeom>
        <a:ln w="12700">
          <a:solidFill>
            <a:schemeClr val="bg1"/>
          </a:solidFill>
        </a:ln>
        <a:scene3d>
          <a:camera prst="orthographicFront"/>
          <a:lightRig rig="threePt" dir="t"/>
        </a:scene3d>
        <a:sp3d>
          <a:bevelT prst="convex"/>
        </a:sp3d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20</xdr:col>
      <xdr:colOff>5347</xdr:colOff>
      <xdr:row>4</xdr:row>
      <xdr:rowOff>98592</xdr:rowOff>
    </xdr:from>
    <xdr:to>
      <xdr:col>20</xdr:col>
      <xdr:colOff>5347</xdr:colOff>
      <xdr:row>12</xdr:row>
      <xdr:rowOff>177800</xdr:rowOff>
    </xdr:to>
    <xdr:cxnSp macro="">
      <xdr:nvCxnSpPr>
        <xdr:cNvPr id="70" name="Straight Connector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CxnSpPr>
          <a:cxnSpLocks noChangeAspect="1"/>
        </xdr:cNvCxnSpPr>
      </xdr:nvCxnSpPr>
      <xdr:spPr>
        <a:xfrm flipV="1">
          <a:off x="3234322" y="746292"/>
          <a:ext cx="0" cy="1603208"/>
        </a:xfrm>
        <a:prstGeom prst="line">
          <a:avLst/>
        </a:prstGeom>
        <a:ln w="12700">
          <a:solidFill>
            <a:schemeClr val="bg1"/>
          </a:solidFill>
        </a:ln>
        <a:scene3d>
          <a:camera prst="orthographicFront"/>
          <a:lightRig rig="threePt" dir="t"/>
        </a:scene3d>
        <a:sp3d>
          <a:bevelT prst="convex"/>
        </a:sp3d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4</xdr:col>
      <xdr:colOff>11697</xdr:colOff>
      <xdr:row>4</xdr:row>
      <xdr:rowOff>92242</xdr:rowOff>
    </xdr:from>
    <xdr:to>
      <xdr:col>4</xdr:col>
      <xdr:colOff>11697</xdr:colOff>
      <xdr:row>12</xdr:row>
      <xdr:rowOff>171450</xdr:rowOff>
    </xdr:to>
    <xdr:cxnSp macro="">
      <xdr:nvCxnSpPr>
        <xdr:cNvPr id="71" name="Straight Connector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CxnSpPr>
          <a:cxnSpLocks noChangeAspect="1"/>
        </xdr:cNvCxnSpPr>
      </xdr:nvCxnSpPr>
      <xdr:spPr>
        <a:xfrm flipV="1">
          <a:off x="792747" y="739942"/>
          <a:ext cx="0" cy="1603208"/>
        </a:xfrm>
        <a:prstGeom prst="line">
          <a:avLst/>
        </a:prstGeom>
        <a:ln w="12700">
          <a:solidFill>
            <a:schemeClr val="bg1"/>
          </a:solidFill>
        </a:ln>
        <a:scene3d>
          <a:camera prst="orthographicFront"/>
          <a:lightRig rig="threePt" dir="t"/>
        </a:scene3d>
        <a:sp3d>
          <a:bevelT prst="convex"/>
        </a:sp3d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28</xdr:col>
      <xdr:colOff>180843</xdr:colOff>
      <xdr:row>25</xdr:row>
      <xdr:rowOff>6352</xdr:rowOff>
    </xdr:from>
    <xdr:to>
      <xdr:col>30</xdr:col>
      <xdr:colOff>180858</xdr:colOff>
      <xdr:row>34</xdr:row>
      <xdr:rowOff>38843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GrpSpPr>
          <a:grpSpLocks noChangeAspect="1"/>
        </xdr:cNvGrpSpPr>
      </xdr:nvGrpSpPr>
      <xdr:grpSpPr>
        <a:xfrm>
          <a:off x="4882409" y="4181958"/>
          <a:ext cx="262994" cy="1276834"/>
          <a:chOff x="4930047" y="5261281"/>
          <a:chExt cx="158958" cy="1259281"/>
        </a:xfrm>
      </xdr:grpSpPr>
      <xdr:grpSp>
        <xdr:nvGrpSpPr>
          <xdr:cNvPr id="100" name="Group 99">
            <a:extLst>
              <a:ext uri="{FF2B5EF4-FFF2-40B4-BE49-F238E27FC236}">
                <a16:creationId xmlns:a16="http://schemas.microsoft.com/office/drawing/2014/main" id="{00000000-0008-0000-0000-000064000000}"/>
              </a:ext>
            </a:extLst>
          </xdr:cNvPr>
          <xdr:cNvGrpSpPr/>
        </xdr:nvGrpSpPr>
        <xdr:grpSpPr>
          <a:xfrm>
            <a:off x="4943253" y="5261281"/>
            <a:ext cx="121583" cy="265418"/>
            <a:chOff x="5028593" y="8446507"/>
            <a:chExt cx="122608" cy="263904"/>
          </a:xfrm>
        </xdr:grpSpPr>
        <xdr:sp macro="" textlink="">
          <xdr:nvSpPr>
            <xdr:cNvPr id="98" name="Rectangle 97">
              <a:extLst>
                <a:ext uri="{FF2B5EF4-FFF2-40B4-BE49-F238E27FC236}">
                  <a16:creationId xmlns:a16="http://schemas.microsoft.com/office/drawing/2014/main" id="{00000000-0008-0000-0000-000062000000}"/>
                </a:ext>
              </a:extLst>
            </xdr:cNvPr>
            <xdr:cNvSpPr/>
          </xdr:nvSpPr>
          <xdr:spPr>
            <a:xfrm>
              <a:off x="5028593" y="8446507"/>
              <a:ext cx="122608" cy="263904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  <a:effectLst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AE" sz="1100"/>
            </a:p>
          </xdr:txBody>
        </xdr:sp>
        <xdr:sp macro="" textlink="">
          <xdr:nvSpPr>
            <xdr:cNvPr id="99" name="Flowchart: Merge 98">
              <a:extLst>
                <a:ext uri="{FF2B5EF4-FFF2-40B4-BE49-F238E27FC236}">
                  <a16:creationId xmlns:a16="http://schemas.microsoft.com/office/drawing/2014/main" id="{00000000-0008-0000-0000-000063000000}"/>
                </a:ext>
              </a:extLst>
            </xdr:cNvPr>
            <xdr:cNvSpPr/>
          </xdr:nvSpPr>
          <xdr:spPr>
            <a:xfrm>
              <a:off x="5057322" y="8534702"/>
              <a:ext cx="75958" cy="53279"/>
            </a:xfrm>
            <a:prstGeom prst="flowChartMerge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AE" sz="1100"/>
            </a:p>
          </xdr:txBody>
        </xdr:sp>
      </xdr:grpSp>
      <xdr:grpSp>
        <xdr:nvGrpSpPr>
          <xdr:cNvPr id="104" name="Group 103">
            <a:extLst>
              <a:ext uri="{FF2B5EF4-FFF2-40B4-BE49-F238E27FC236}">
                <a16:creationId xmlns:a16="http://schemas.microsoft.com/office/drawing/2014/main" id="{00000000-0008-0000-0000-000068000000}"/>
              </a:ext>
            </a:extLst>
          </xdr:cNvPr>
          <xdr:cNvGrpSpPr/>
        </xdr:nvGrpSpPr>
        <xdr:grpSpPr>
          <a:xfrm>
            <a:off x="4930047" y="6221552"/>
            <a:ext cx="158958" cy="299010"/>
            <a:chOff x="5035501" y="8411836"/>
            <a:chExt cx="160844" cy="297304"/>
          </a:xfrm>
        </xdr:grpSpPr>
        <xdr:sp macro="" textlink="">
          <xdr:nvSpPr>
            <xdr:cNvPr id="105" name="Rectangle 104">
              <a:extLst>
                <a:ext uri="{FF2B5EF4-FFF2-40B4-BE49-F238E27FC236}">
                  <a16:creationId xmlns:a16="http://schemas.microsoft.com/office/drawing/2014/main" id="{00000000-0008-0000-0000-000069000000}"/>
                </a:ext>
              </a:extLst>
            </xdr:cNvPr>
            <xdr:cNvSpPr/>
          </xdr:nvSpPr>
          <xdr:spPr>
            <a:xfrm>
              <a:off x="5035501" y="8411836"/>
              <a:ext cx="160844" cy="297304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  <a:effectLst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AE" sz="1100"/>
            </a:p>
          </xdr:txBody>
        </xdr:sp>
        <xdr:sp macro="" textlink="">
          <xdr:nvSpPr>
            <xdr:cNvPr id="106" name="Flowchart: Merge 105">
              <a:extLst>
                <a:ext uri="{FF2B5EF4-FFF2-40B4-BE49-F238E27FC236}">
                  <a16:creationId xmlns:a16="http://schemas.microsoft.com/office/drawing/2014/main" id="{00000000-0008-0000-0000-00006A000000}"/>
                </a:ext>
              </a:extLst>
            </xdr:cNvPr>
            <xdr:cNvSpPr/>
          </xdr:nvSpPr>
          <xdr:spPr>
            <a:xfrm>
              <a:off x="5057322" y="8534702"/>
              <a:ext cx="75958" cy="53279"/>
            </a:xfrm>
            <a:prstGeom prst="flowChartMerge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AE" sz="1100"/>
            </a:p>
          </xdr:txBody>
        </xdr:sp>
      </xdr:grpSp>
    </xdr:grpSp>
    <xdr:clientData fPrintsWithSheet="0"/>
  </xdr:twoCellAnchor>
  <xdr:twoCellAnchor editAs="absolute">
    <xdr:from>
      <xdr:col>67</xdr:col>
      <xdr:colOff>168876</xdr:colOff>
      <xdr:row>28</xdr:row>
      <xdr:rowOff>52930</xdr:rowOff>
    </xdr:from>
    <xdr:to>
      <xdr:col>68</xdr:col>
      <xdr:colOff>192673</xdr:colOff>
      <xdr:row>34</xdr:row>
      <xdr:rowOff>32985</xdr:rowOff>
    </xdr:to>
    <xdr:grpSp>
      <xdr:nvGrpSpPr>
        <xdr:cNvPr id="113" name="Group 112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GrpSpPr>
          <a:grpSpLocks noChangeAspect="1"/>
        </xdr:cNvGrpSpPr>
      </xdr:nvGrpSpPr>
      <xdr:grpSpPr>
        <a:xfrm>
          <a:off x="11181957" y="4600556"/>
          <a:ext cx="222635" cy="852378"/>
          <a:chOff x="11106362" y="5602954"/>
          <a:chExt cx="133033" cy="850120"/>
        </a:xfrm>
      </xdr:grpSpPr>
      <xdr:grpSp>
        <xdr:nvGrpSpPr>
          <xdr:cNvPr id="101" name="Group 100">
            <a:extLst>
              <a:ext uri="{FF2B5EF4-FFF2-40B4-BE49-F238E27FC236}">
                <a16:creationId xmlns:a16="http://schemas.microsoft.com/office/drawing/2014/main" id="{00000000-0008-0000-0000-000065000000}"/>
              </a:ext>
            </a:extLst>
          </xdr:cNvPr>
          <xdr:cNvGrpSpPr/>
        </xdr:nvGrpSpPr>
        <xdr:grpSpPr>
          <a:xfrm>
            <a:off x="11114310" y="5602954"/>
            <a:ext cx="125085" cy="200209"/>
            <a:chOff x="5028594" y="8446508"/>
            <a:chExt cx="127001" cy="199067"/>
          </a:xfrm>
        </xdr:grpSpPr>
        <xdr:sp macro="" textlink="">
          <xdr:nvSpPr>
            <xdr:cNvPr id="102" name="Rectangle 101">
              <a:extLst>
                <a:ext uri="{FF2B5EF4-FFF2-40B4-BE49-F238E27FC236}">
                  <a16:creationId xmlns:a16="http://schemas.microsoft.com/office/drawing/2014/main" id="{00000000-0008-0000-0000-000066000000}"/>
                </a:ext>
              </a:extLst>
            </xdr:cNvPr>
            <xdr:cNvSpPr/>
          </xdr:nvSpPr>
          <xdr:spPr>
            <a:xfrm>
              <a:off x="5028594" y="8446508"/>
              <a:ext cx="127001" cy="19906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  <a:effectLst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AE" sz="1100"/>
            </a:p>
          </xdr:txBody>
        </xdr:sp>
        <xdr:sp macro="" textlink="">
          <xdr:nvSpPr>
            <xdr:cNvPr id="103" name="Flowchart: Merge 102">
              <a:extLst>
                <a:ext uri="{FF2B5EF4-FFF2-40B4-BE49-F238E27FC236}">
                  <a16:creationId xmlns:a16="http://schemas.microsoft.com/office/drawing/2014/main" id="{00000000-0008-0000-0000-000067000000}"/>
                </a:ext>
              </a:extLst>
            </xdr:cNvPr>
            <xdr:cNvSpPr/>
          </xdr:nvSpPr>
          <xdr:spPr>
            <a:xfrm>
              <a:off x="5057322" y="8534702"/>
              <a:ext cx="75958" cy="53279"/>
            </a:xfrm>
            <a:prstGeom prst="flowChartMerge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AE" sz="1100"/>
            </a:p>
          </xdr:txBody>
        </xdr:sp>
      </xdr:grpSp>
      <xdr:grpSp>
        <xdr:nvGrpSpPr>
          <xdr:cNvPr id="107" name="Group 106">
            <a:extLst>
              <a:ext uri="{FF2B5EF4-FFF2-40B4-BE49-F238E27FC236}">
                <a16:creationId xmlns:a16="http://schemas.microsoft.com/office/drawing/2014/main" id="{00000000-0008-0000-0000-00006B000000}"/>
              </a:ext>
            </a:extLst>
          </xdr:cNvPr>
          <xdr:cNvGrpSpPr/>
        </xdr:nvGrpSpPr>
        <xdr:grpSpPr>
          <a:xfrm>
            <a:off x="11107028" y="5958297"/>
            <a:ext cx="125512" cy="200209"/>
            <a:chOff x="5028594" y="8446508"/>
            <a:chExt cx="127001" cy="199067"/>
          </a:xfrm>
        </xdr:grpSpPr>
        <xdr:sp macro="" textlink="">
          <xdr:nvSpPr>
            <xdr:cNvPr id="108" name="Rectangle 107">
              <a:extLst>
                <a:ext uri="{FF2B5EF4-FFF2-40B4-BE49-F238E27FC236}">
                  <a16:creationId xmlns:a16="http://schemas.microsoft.com/office/drawing/2014/main" id="{00000000-0008-0000-0000-00006C000000}"/>
                </a:ext>
              </a:extLst>
            </xdr:cNvPr>
            <xdr:cNvSpPr/>
          </xdr:nvSpPr>
          <xdr:spPr>
            <a:xfrm>
              <a:off x="5028594" y="8446508"/>
              <a:ext cx="127001" cy="19906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  <a:effectLst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AE" sz="1100"/>
            </a:p>
          </xdr:txBody>
        </xdr:sp>
        <xdr:sp macro="" textlink="">
          <xdr:nvSpPr>
            <xdr:cNvPr id="109" name="Flowchart: Merge 108">
              <a:extLst>
                <a:ext uri="{FF2B5EF4-FFF2-40B4-BE49-F238E27FC236}">
                  <a16:creationId xmlns:a16="http://schemas.microsoft.com/office/drawing/2014/main" id="{00000000-0008-0000-0000-00006D000000}"/>
                </a:ext>
              </a:extLst>
            </xdr:cNvPr>
            <xdr:cNvSpPr/>
          </xdr:nvSpPr>
          <xdr:spPr>
            <a:xfrm>
              <a:off x="5057322" y="8534702"/>
              <a:ext cx="75958" cy="53279"/>
            </a:xfrm>
            <a:prstGeom prst="flowChartMerge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AE" sz="1100"/>
            </a:p>
          </xdr:txBody>
        </xdr:sp>
      </xdr:grpSp>
      <xdr:grpSp>
        <xdr:nvGrpSpPr>
          <xdr:cNvPr id="110" name="Group 109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GrpSpPr/>
        </xdr:nvGrpSpPr>
        <xdr:grpSpPr>
          <a:xfrm>
            <a:off x="11106362" y="6253185"/>
            <a:ext cx="125085" cy="199889"/>
            <a:chOff x="5028594" y="8446508"/>
            <a:chExt cx="127001" cy="199067"/>
          </a:xfrm>
        </xdr:grpSpPr>
        <xdr:sp macro="" textlink="">
          <xdr:nvSpPr>
            <xdr:cNvPr id="111" name="Rectangle 110">
              <a:extLst>
                <a:ext uri="{FF2B5EF4-FFF2-40B4-BE49-F238E27FC236}">
                  <a16:creationId xmlns:a16="http://schemas.microsoft.com/office/drawing/2014/main" id="{00000000-0008-0000-0000-00006F000000}"/>
                </a:ext>
              </a:extLst>
            </xdr:cNvPr>
            <xdr:cNvSpPr/>
          </xdr:nvSpPr>
          <xdr:spPr>
            <a:xfrm>
              <a:off x="5028594" y="8446508"/>
              <a:ext cx="127001" cy="19906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  <a:effectLst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AE" sz="1100"/>
            </a:p>
          </xdr:txBody>
        </xdr:sp>
        <xdr:sp macro="" textlink="">
          <xdr:nvSpPr>
            <xdr:cNvPr id="112" name="Flowchart: Merge 111">
              <a:extLst>
                <a:ext uri="{FF2B5EF4-FFF2-40B4-BE49-F238E27FC236}">
                  <a16:creationId xmlns:a16="http://schemas.microsoft.com/office/drawing/2014/main" id="{00000000-0008-0000-0000-000070000000}"/>
                </a:ext>
              </a:extLst>
            </xdr:cNvPr>
            <xdr:cNvSpPr/>
          </xdr:nvSpPr>
          <xdr:spPr>
            <a:xfrm>
              <a:off x="5057322" y="8534702"/>
              <a:ext cx="75958" cy="53279"/>
            </a:xfrm>
            <a:prstGeom prst="flowChartMerge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AE" sz="1100"/>
            </a:p>
          </xdr:txBody>
        </xdr:sp>
      </xdr:grpSp>
    </xdr:grpSp>
    <xdr:clientData fPrintsWithSheet="0"/>
  </xdr:twoCellAnchor>
  <xdr:twoCellAnchor editAs="absolute">
    <xdr:from>
      <xdr:col>20</xdr:col>
      <xdr:colOff>105836</xdr:colOff>
      <xdr:row>13</xdr:row>
      <xdr:rowOff>35278</xdr:rowOff>
    </xdr:from>
    <xdr:to>
      <xdr:col>41</xdr:col>
      <xdr:colOff>15379</xdr:colOff>
      <xdr:row>17</xdr:row>
      <xdr:rowOff>70085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Aspect="1"/>
        </xdr:cNvSpPr>
      </xdr:nvSpPr>
      <xdr:spPr>
        <a:xfrm>
          <a:off x="3334811" y="2407003"/>
          <a:ext cx="2957543" cy="530107"/>
        </a:xfrm>
        <a:prstGeom prst="rect">
          <a:avLst/>
        </a:prstGeom>
        <a:noFill/>
        <a:ln w="3175"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 fPrintsWithSheet="0"/>
  </xdr:twoCellAnchor>
  <xdr:twoCellAnchor editAs="absolute">
    <xdr:from>
      <xdr:col>28</xdr:col>
      <xdr:colOff>58797</xdr:colOff>
      <xdr:row>17</xdr:row>
      <xdr:rowOff>83965</xdr:rowOff>
    </xdr:from>
    <xdr:to>
      <xdr:col>37</xdr:col>
      <xdr:colOff>89552</xdr:colOff>
      <xdr:row>21</xdr:row>
      <xdr:rowOff>71263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>
          <a:spLocks noChangeAspect="1"/>
        </xdr:cNvSpPr>
      </xdr:nvSpPr>
      <xdr:spPr>
        <a:xfrm>
          <a:off x="4497447" y="2950990"/>
          <a:ext cx="1440455" cy="654048"/>
        </a:xfrm>
        <a:prstGeom prst="ellipse">
          <a:avLst/>
        </a:prstGeom>
        <a:solidFill>
          <a:srgbClr val="6600FF">
            <a:alpha val="64000"/>
          </a:srgbClr>
        </a:solidFill>
        <a:ln w="63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 fPrintsWithSheet="0"/>
  </xdr:twoCellAnchor>
  <xdr:twoCellAnchor editAs="absolute">
    <xdr:from>
      <xdr:col>0</xdr:col>
      <xdr:colOff>57727</xdr:colOff>
      <xdr:row>39</xdr:row>
      <xdr:rowOff>145094</xdr:rowOff>
    </xdr:from>
    <xdr:to>
      <xdr:col>76</xdr:col>
      <xdr:colOff>60856</xdr:colOff>
      <xdr:row>64</xdr:row>
      <xdr:rowOff>8859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87619" b="6067"/>
        <a:stretch/>
      </xdr:blipFill>
      <xdr:spPr>
        <a:xfrm>
          <a:off x="57727" y="6379639"/>
          <a:ext cx="12696715" cy="453866"/>
        </a:xfrm>
        <a:prstGeom prst="rect">
          <a:avLst/>
        </a:prstGeom>
        <a:ln>
          <a:noFill/>
        </a:ln>
      </xdr:spPr>
    </xdr:pic>
    <xdr:clientData fPrintsWithSheet="0"/>
  </xdr:twoCellAnchor>
  <xdr:twoCellAnchor>
    <xdr:from>
      <xdr:col>20</xdr:col>
      <xdr:colOff>114300</xdr:colOff>
      <xdr:row>17</xdr:row>
      <xdr:rowOff>57150</xdr:rowOff>
    </xdr:from>
    <xdr:to>
      <xdr:col>27</xdr:col>
      <xdr:colOff>31750</xdr:colOff>
      <xdr:row>23</xdr:row>
      <xdr:rowOff>38100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3343275" y="2924175"/>
          <a:ext cx="1060450" cy="952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E" sz="1100"/>
            <a:t>DATE,</a:t>
          </a:r>
          <a:r>
            <a:rPr lang="en-AE" sz="1100" baseline="0"/>
            <a:t> TIME</a:t>
          </a:r>
        </a:p>
        <a:p>
          <a:r>
            <a:rPr lang="en-AE" sz="1100" baseline="0"/>
            <a:t>ORDER QTY</a:t>
          </a:r>
        </a:p>
        <a:p>
          <a:r>
            <a:rPr lang="en-AE" sz="1100" baseline="0"/>
            <a:t>WITH THIS LOAD</a:t>
          </a:r>
          <a:endParaRPr lang="en-AE" sz="1100"/>
        </a:p>
      </xdr:txBody>
    </xdr:sp>
    <xdr:clientData/>
  </xdr:twoCellAnchor>
  <xdr:twoCellAnchor>
    <xdr:from>
      <xdr:col>3</xdr:col>
      <xdr:colOff>3416</xdr:colOff>
      <xdr:row>40</xdr:row>
      <xdr:rowOff>0</xdr:rowOff>
    </xdr:from>
    <xdr:to>
      <xdr:col>71</xdr:col>
      <xdr:colOff>16036</xdr:colOff>
      <xdr:row>40</xdr:row>
      <xdr:rowOff>0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>
          <a:off x="689216" y="6829425"/>
          <a:ext cx="10375820" cy="0"/>
        </a:xfrm>
        <a:prstGeom prst="line">
          <a:avLst/>
        </a:prstGeom>
        <a:ln w="6350">
          <a:solidFill>
            <a:schemeClr val="bg1">
              <a:lumMod val="65000"/>
            </a:schemeClr>
          </a:solidFill>
        </a:ln>
        <a:effectLst>
          <a:innerShdw blurRad="63500" dist="50800" dir="5400000">
            <a:prstClr val="black">
              <a:alpha val="50000"/>
            </a:prstClr>
          </a:inn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12700</xdr:colOff>
          <xdr:row>25</xdr:row>
          <xdr:rowOff>12700</xdr:rowOff>
        </xdr:from>
        <xdr:to>
          <xdr:col>43</xdr:col>
          <xdr:colOff>165100</xdr:colOff>
          <xdr:row>26</xdr:row>
          <xdr:rowOff>19050</xdr:rowOff>
        </xdr:to>
        <xdr:sp macro="" textlink="">
          <xdr:nvSpPr>
            <xdr:cNvPr id="1058" name="Spinner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xdr:twoCellAnchor editAs="absolute">
    <xdr:from>
      <xdr:col>3</xdr:col>
      <xdr:colOff>45141</xdr:colOff>
      <xdr:row>2</xdr:row>
      <xdr:rowOff>169780</xdr:rowOff>
    </xdr:from>
    <xdr:to>
      <xdr:col>72</xdr:col>
      <xdr:colOff>0</xdr:colOff>
      <xdr:row>24</xdr:row>
      <xdr:rowOff>194830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GrpSpPr/>
      </xdr:nvGrpSpPr>
      <xdr:grpSpPr>
        <a:xfrm>
          <a:off x="776353" y="541800"/>
          <a:ext cx="10942283" cy="3610555"/>
          <a:chOff x="794574" y="530345"/>
          <a:chExt cx="10696023" cy="3567574"/>
        </a:xfrm>
      </xdr:grpSpPr>
      <xdr:grpSp>
        <xdr:nvGrpSpPr>
          <xdr:cNvPr id="22" name="Group 2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GrpSpPr/>
        </xdr:nvGrpSpPr>
        <xdr:grpSpPr>
          <a:xfrm>
            <a:off x="794574" y="530345"/>
            <a:ext cx="10696023" cy="3567574"/>
            <a:chOff x="709128" y="555745"/>
            <a:chExt cx="10672469" cy="3568785"/>
          </a:xfrm>
        </xdr:grpSpPr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1195" t="6787" r="8674" b="46141"/>
            <a:stretch/>
          </xdr:blipFill>
          <xdr:spPr>
            <a:xfrm>
              <a:off x="2623389" y="555745"/>
              <a:ext cx="8745429" cy="3395335"/>
            </a:xfrm>
            <a:prstGeom prst="rect">
              <a:avLst/>
            </a:prstGeom>
          </xdr:spPr>
        </xdr:pic>
        <xdr:pic>
          <xdr:nvPicPr>
            <xdr:cNvPr id="19" name="Picture 18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6421" t="6787" r="72418" b="68768"/>
            <a:stretch/>
          </xdr:blipFill>
          <xdr:spPr>
            <a:xfrm>
              <a:off x="725073" y="555745"/>
              <a:ext cx="2672177" cy="1749283"/>
            </a:xfrm>
            <a:prstGeom prst="rect">
              <a:avLst/>
            </a:prstGeom>
          </xdr:spPr>
        </xdr:pic>
        <xdr:pic>
          <xdr:nvPicPr>
            <xdr:cNvPr id="21" name="Picture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6814" t="53060" r="8673" b="44189"/>
            <a:stretch/>
          </xdr:blipFill>
          <xdr:spPr>
            <a:xfrm>
              <a:off x="709128" y="3914981"/>
              <a:ext cx="10672469" cy="209549"/>
            </a:xfrm>
            <a:prstGeom prst="rect">
              <a:avLst/>
            </a:prstGeom>
          </xdr:spPr>
        </xdr:pic>
      </xdr:grpSp>
      <xdr:sp macro="" textlink="AH52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 txBox="1"/>
        </xdr:nvSpPr>
        <xdr:spPr>
          <a:xfrm>
            <a:off x="2133600" y="1136650"/>
            <a:ext cx="540000" cy="1841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ctr" anchorCtr="0"/>
          <a:lstStyle/>
          <a:p>
            <a:pPr algn="ctr"/>
            <a:fld id="{0600BF9E-C622-4053-981A-2F4E04B29A78}" type="TxLink">
              <a:rPr lang="en-US" sz="1100" b="1" i="0" u="none" strike="noStrike">
                <a:solidFill>
                  <a:srgbClr val="000000"/>
                </a:solidFill>
                <a:latin typeface="Times New Roman" panose="02020603050405020304" pitchFamily="18" charset="0"/>
                <a:ea typeface="Calibri"/>
                <a:cs typeface="Times New Roman" panose="02020603050405020304" pitchFamily="18" charset="0"/>
              </a:rPr>
              <a:pPr algn="ctr"/>
              <a:t> 681 </a:t>
            </a:fld>
            <a:endParaRPr lang="en-AE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Y49">
        <xdr:nvSpPr>
          <xdr:cNvPr id="32" name="TextBox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 txBox="1"/>
        </xdr:nvSpPr>
        <xdr:spPr>
          <a:xfrm>
            <a:off x="2413000" y="1730625"/>
            <a:ext cx="838200" cy="2032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ctr" anchorCtr="0"/>
          <a:lstStyle/>
          <a:p>
            <a:pPr algn="ctr"/>
            <a:fld id="{85EEC7B7-E4B8-4BEA-9797-4FDF98F3EEFA}" type="TxLink">
              <a:rPr lang="en-US" sz="1400" b="1" i="0" u="none" strike="noStrike">
                <a:solidFill>
                  <a:sysClr val="windowText" lastClr="000000"/>
                </a:solidFill>
                <a:latin typeface="Times New Roman"/>
                <a:cs typeface="Times New Roman"/>
              </a:rPr>
              <a:pPr algn="ctr"/>
              <a:t> 1,859 </a:t>
            </a:fld>
            <a:endParaRPr lang="en-AE" sz="1800" b="1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4</xdr:col>
      <xdr:colOff>75718</xdr:colOff>
      <xdr:row>6</xdr:row>
      <xdr:rowOff>27867</xdr:rowOff>
    </xdr:from>
    <xdr:to>
      <xdr:col>11</xdr:col>
      <xdr:colOff>49389</xdr:colOff>
      <xdr:row>7</xdr:row>
      <xdr:rowOff>24572</xdr:rowOff>
    </xdr:to>
    <xdr:sp macro="[0]!NextValue" textlink="AH51">
      <xdr:nvSpPr>
        <xdr:cNvPr id="46" name="TextBox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856768" y="1170867"/>
          <a:ext cx="1059521" cy="18720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tIns="36000" rIns="36000" bIns="36000" rtlCol="0" anchor="ctr" anchorCtr="0"/>
        <a:lstStyle/>
        <a:p>
          <a:pPr algn="l"/>
          <a:fld id="{0ED3D12A-6B4F-406F-996D-A36A6E5FFCE7}" type="TxLink">
            <a:rPr lang="en-US" sz="1100" b="1" i="0" u="none" strike="noStrike">
              <a:solidFill>
                <a:srgbClr val="000000"/>
              </a:solidFill>
              <a:latin typeface="Times New Roman"/>
              <a:cs typeface="Times New Roman"/>
            </a:rPr>
            <a:pPr algn="l"/>
            <a:t>20 MM</a:t>
          </a:fld>
          <a:endParaRPr lang="en-A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15393</xdr:colOff>
      <xdr:row>6</xdr:row>
      <xdr:rowOff>15167</xdr:rowOff>
    </xdr:from>
    <xdr:to>
      <xdr:col>28</xdr:col>
      <xdr:colOff>74789</xdr:colOff>
      <xdr:row>6</xdr:row>
      <xdr:rowOff>164272</xdr:rowOff>
    </xdr:to>
    <xdr:sp macro="[0]!NextValueCem" textlink="AH56">
      <xdr:nvSpPr>
        <xdr:cNvPr id="49" name="TextBox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3453918" y="1158167"/>
          <a:ext cx="1059521" cy="1491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tIns="36000" rIns="36000" bIns="36000" rtlCol="0" anchor="ctr" anchorCtr="0"/>
        <a:lstStyle/>
        <a:p>
          <a:pPr algn="l"/>
          <a:fld id="{C888B9EF-FAAB-4F17-B6CC-0D349F491BF7}" type="TxLink">
            <a:rPr lang="en-US" sz="1100" b="1" i="0" u="none" strike="noStrike">
              <a:solidFill>
                <a:srgbClr val="000000"/>
              </a:solidFill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pPr algn="l"/>
            <a:t>CEM 1</a:t>
          </a:fld>
          <a:endParaRPr lang="en-AE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29</xdr:col>
      <xdr:colOff>7599</xdr:colOff>
      <xdr:row>5</xdr:row>
      <xdr:rowOff>297421</xdr:rowOff>
    </xdr:from>
    <xdr:to>
      <xdr:col>32</xdr:col>
      <xdr:colOff>79817</xdr:colOff>
      <xdr:row>7</xdr:row>
      <xdr:rowOff>703</xdr:rowOff>
    </xdr:to>
    <xdr:sp macro="" textlink="AH57">
      <xdr:nvSpPr>
        <xdr:cNvPr id="51" name="TextBox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 txBox="1"/>
      </xdr:nvSpPr>
      <xdr:spPr>
        <a:xfrm>
          <a:off x="4631554" y="1137353"/>
          <a:ext cx="522490" cy="1968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tIns="36000" rIns="36000" bIns="36000" rtlCol="0" anchor="ctr" anchorCtr="0"/>
        <a:lstStyle/>
        <a:p>
          <a:pPr algn="ctr"/>
          <a:fld id="{CD58D109-AB8F-4B30-A567-CFF23371534B}" type="TxLink">
            <a:rPr lang="en-US" sz="1100" b="1" i="0" u="none" strike="noStrike">
              <a:solidFill>
                <a:srgbClr val="000000"/>
              </a:solidFill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pPr algn="ctr"/>
            <a:t> 340 </a:t>
          </a:fld>
          <a:endParaRPr lang="en-AE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30</xdr:col>
      <xdr:colOff>88418</xdr:colOff>
      <xdr:row>8</xdr:row>
      <xdr:rowOff>183442</xdr:rowOff>
    </xdr:from>
    <xdr:to>
      <xdr:col>34</xdr:col>
      <xdr:colOff>170968</xdr:colOff>
      <xdr:row>9</xdr:row>
      <xdr:rowOff>189439</xdr:rowOff>
    </xdr:to>
    <xdr:sp macro="" textlink="Z49">
      <xdr:nvSpPr>
        <xdr:cNvPr id="53" name="TextBox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 txBox="1"/>
      </xdr:nvSpPr>
      <xdr:spPr>
        <a:xfrm>
          <a:off x="4774718" y="1707442"/>
          <a:ext cx="806450" cy="19649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tIns="36000" rIns="36000" bIns="36000" rtlCol="0" anchor="ctr" anchorCtr="0"/>
        <a:lstStyle/>
        <a:p>
          <a:pPr algn="ctr"/>
          <a:fld id="{88F69C48-F53C-41EE-B0B8-EA6A15AF616C}" type="TxLink">
            <a:rPr lang="en-US" sz="1400" b="1" i="0" u="none" strike="noStrike">
              <a:solidFill>
                <a:srgbClr val="000000"/>
              </a:solidFill>
              <a:latin typeface="Times New Roman"/>
              <a:cs typeface="Times New Roman"/>
            </a:rPr>
            <a:pPr algn="ctr"/>
            <a:t> 440 </a:t>
          </a:fld>
          <a:endParaRPr lang="en-AE" sz="28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45</xdr:col>
      <xdr:colOff>113818</xdr:colOff>
      <xdr:row>6</xdr:row>
      <xdr:rowOff>5642</xdr:rowOff>
    </xdr:from>
    <xdr:to>
      <xdr:col>48</xdr:col>
      <xdr:colOff>183918</xdr:colOff>
      <xdr:row>7</xdr:row>
      <xdr:rowOff>11992</xdr:rowOff>
    </xdr:to>
    <xdr:sp macro="" textlink="BC46">
      <xdr:nvSpPr>
        <xdr:cNvPr id="58" name="TextBox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 txBox="1"/>
      </xdr:nvSpPr>
      <xdr:spPr>
        <a:xfrm>
          <a:off x="7200418" y="1148642"/>
          <a:ext cx="517775" cy="1968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tIns="36000" rIns="36000" bIns="36000" rtlCol="0" anchor="ctr" anchorCtr="0"/>
        <a:lstStyle/>
        <a:p>
          <a:pPr algn="ctr"/>
          <a:fld id="{470BA394-67D2-4A79-B94B-55FDB808181D}" type="TxLink">
            <a:rPr lang="en-US" sz="1100" b="1" i="0" u="none" strike="noStrike">
              <a:solidFill>
                <a:sysClr val="windowText" lastClr="000000"/>
              </a:solidFill>
              <a:latin typeface="Times New Roman"/>
              <a:ea typeface="Calibri"/>
              <a:cs typeface="Times New Roman"/>
            </a:rPr>
            <a:pPr algn="ctr"/>
            <a:t> 154 </a:t>
          </a:fld>
          <a:endParaRPr lang="en-AE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45</xdr:col>
      <xdr:colOff>167793</xdr:colOff>
      <xdr:row>8</xdr:row>
      <xdr:rowOff>153103</xdr:rowOff>
    </xdr:from>
    <xdr:to>
      <xdr:col>51</xdr:col>
      <xdr:colOff>40793</xdr:colOff>
      <xdr:row>9</xdr:row>
      <xdr:rowOff>164392</xdr:rowOff>
    </xdr:to>
    <xdr:sp macro="" textlink="BC46">
      <xdr:nvSpPr>
        <xdr:cNvPr id="59" name="TextBox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 txBox="1"/>
      </xdr:nvSpPr>
      <xdr:spPr>
        <a:xfrm>
          <a:off x="7254393" y="1677103"/>
          <a:ext cx="796925" cy="20178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tIns="36000" rIns="36000" bIns="36000" rtlCol="0" anchor="ctr" anchorCtr="0"/>
        <a:lstStyle/>
        <a:p>
          <a:pPr algn="ctr"/>
          <a:fld id="{ADB51718-7334-4273-911D-608E2F81F1D1}" type="TxLink">
            <a:rPr lang="en-US" sz="1400" b="1" i="0" u="none" strike="noStrike">
              <a:solidFill>
                <a:sysClr val="windowText" lastClr="000000"/>
              </a:solidFill>
              <a:latin typeface="Times New Roman"/>
              <a:cs typeface="Times New Roman"/>
            </a:rPr>
            <a:pPr algn="ctr"/>
            <a:t> 154 </a:t>
          </a:fld>
          <a:endParaRPr lang="en-AE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62</xdr:col>
      <xdr:colOff>183668</xdr:colOff>
      <xdr:row>8</xdr:row>
      <xdr:rowOff>162628</xdr:rowOff>
    </xdr:from>
    <xdr:to>
      <xdr:col>68</xdr:col>
      <xdr:colOff>66193</xdr:colOff>
      <xdr:row>9</xdr:row>
      <xdr:rowOff>173917</xdr:rowOff>
    </xdr:to>
    <xdr:sp macro="" textlink="AH61">
      <xdr:nvSpPr>
        <xdr:cNvPr id="60" name="TextBox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 txBox="1"/>
      </xdr:nvSpPr>
      <xdr:spPr>
        <a:xfrm>
          <a:off x="9861068" y="1686628"/>
          <a:ext cx="806450" cy="20178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tIns="36000" rIns="36000" bIns="36000" rtlCol="0" anchor="ctr" anchorCtr="0"/>
        <a:lstStyle/>
        <a:p>
          <a:pPr algn="ctr"/>
          <a:fld id="{EEA90253-BA12-438A-9D1E-587B1FD163A2}" type="TxLink">
            <a:rPr lang="en-US" sz="1400" b="1" i="0" u="none" strike="noStrike">
              <a:solidFill>
                <a:srgbClr val="000000"/>
              </a:solidFill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pPr algn="ctr"/>
            <a:t> 2.60 </a:t>
          </a:fld>
          <a:endParaRPr lang="en-AE" sz="36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62</xdr:col>
      <xdr:colOff>66193</xdr:colOff>
      <xdr:row>5</xdr:row>
      <xdr:rowOff>262817</xdr:rowOff>
    </xdr:from>
    <xdr:to>
      <xdr:col>65</xdr:col>
      <xdr:colOff>136293</xdr:colOff>
      <xdr:row>6</xdr:row>
      <xdr:rowOff>142167</xdr:rowOff>
    </xdr:to>
    <xdr:sp macro="" textlink="AH61">
      <xdr:nvSpPr>
        <xdr:cNvPr id="61" name="TextBox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9743593" y="1101017"/>
          <a:ext cx="517775" cy="1841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tIns="36000" rIns="36000" bIns="36000" rtlCol="0" anchor="ctr" anchorCtr="0"/>
        <a:lstStyle/>
        <a:p>
          <a:pPr algn="ctr"/>
          <a:fld id="{8E98CCD0-827E-4483-AE74-A9550A1FD5CF}" type="TxLink">
            <a:rPr lang="en-US" sz="1100" b="1" i="0" u="none" strike="noStrike">
              <a:solidFill>
                <a:srgbClr val="000000"/>
              </a:solidFill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pPr algn="ctr"/>
            <a:t> 2.60 </a:t>
          </a:fld>
          <a:endParaRPr lang="en-AE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55</xdr:col>
      <xdr:colOff>2340</xdr:colOff>
      <xdr:row>6</xdr:row>
      <xdr:rowOff>703</xdr:rowOff>
    </xdr:from>
    <xdr:to>
      <xdr:col>61</xdr:col>
      <xdr:colOff>30339</xdr:colOff>
      <xdr:row>7</xdr:row>
      <xdr:rowOff>703</xdr:rowOff>
    </xdr:to>
    <xdr:sp macro="[0]!NextValueAdmix" textlink="AH60">
      <xdr:nvSpPr>
        <xdr:cNvPr id="62" name="TextBox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8593890" y="1143703"/>
          <a:ext cx="1047174" cy="19050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tIns="36000" rIns="36000" bIns="36000" rtlCol="0" anchor="ctr" anchorCtr="0"/>
        <a:lstStyle/>
        <a:p>
          <a:pPr algn="l"/>
          <a:fld id="{63FDCDDF-AA9A-4B37-9068-BB7F55005304}" type="TxLink">
            <a:rPr lang="en-US" sz="1100" b="1" i="0" u="none" strike="noStrike">
              <a:solidFill>
                <a:srgbClr val="000000"/>
              </a:solidFill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pPr algn="l"/>
            <a:t>ADMIX1</a:t>
          </a:fld>
          <a:endParaRPr lang="en-AE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38100</xdr:colOff>
          <xdr:row>22</xdr:row>
          <xdr:rowOff>88900</xdr:rowOff>
        </xdr:from>
        <xdr:to>
          <xdr:col>37</xdr:col>
          <xdr:colOff>76200</xdr:colOff>
          <xdr:row>23</xdr:row>
          <xdr:rowOff>165100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IN" sz="1000" b="1" i="0" u="none" strike="noStrike" baseline="0">
                  <a:solidFill>
                    <a:srgbClr val="008000"/>
                  </a:solidFill>
                  <a:latin typeface="Segoe UI"/>
                  <a:cs typeface="Segoe UI"/>
                </a:rPr>
                <a:t>Mixer Gate Closed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50</xdr:col>
          <xdr:colOff>19050</xdr:colOff>
          <xdr:row>23</xdr:row>
          <xdr:rowOff>19050</xdr:rowOff>
        </xdr:from>
        <xdr:to>
          <xdr:col>62</xdr:col>
          <xdr:colOff>19050</xdr:colOff>
          <xdr:row>24</xdr:row>
          <xdr:rowOff>146050</xdr:rowOff>
        </xdr:to>
        <xdr:sp macro="" textlink="">
          <xdr:nvSpPr>
            <xdr:cNvPr id="1059" name="Button 35" descr="Tare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Tare</a:t>
              </a:r>
            </a:p>
          </xdr:txBody>
        </xdr:sp>
        <xdr:clientData fPrintsWithSheet="0"/>
      </xdr:twoCellAnchor>
    </mc:Choice>
    <mc:Fallback/>
  </mc:AlternateContent>
  <xdr:twoCellAnchor>
    <xdr:from>
      <xdr:col>34</xdr:col>
      <xdr:colOff>113466</xdr:colOff>
      <xdr:row>14</xdr:row>
      <xdr:rowOff>31040</xdr:rowOff>
    </xdr:from>
    <xdr:to>
      <xdr:col>41</xdr:col>
      <xdr:colOff>57022</xdr:colOff>
      <xdr:row>16</xdr:row>
      <xdr:rowOff>14107</xdr:rowOff>
    </xdr:to>
    <xdr:sp macro="" textlink="BG46">
      <xdr:nvSpPr>
        <xdr:cNvPr id="72" name="TextBox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5523666" y="2488490"/>
          <a:ext cx="810331" cy="2116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tIns="36000" rIns="36000" bIns="36000" rtlCol="0" anchor="ctr" anchorCtr="0"/>
        <a:lstStyle/>
        <a:p>
          <a:pPr algn="ctr"/>
          <a:fld id="{C72964D3-E322-461D-BED9-5184D225C414}" type="TxLink">
            <a:rPr lang="en-US" sz="1100" b="0" i="0" u="none" strike="noStrike">
              <a:solidFill>
                <a:schemeClr val="bg1">
                  <a:lumMod val="75000"/>
                </a:schemeClr>
              </a:solidFill>
              <a:latin typeface="Times New Roman"/>
              <a:cs typeface="Times New Roman"/>
            </a:rPr>
            <a:pPr algn="ctr"/>
            <a:t> 2,456 </a:t>
          </a:fld>
          <a:endParaRPr lang="en-AE" sz="4000" b="1">
            <a:solidFill>
              <a:schemeClr val="bg1">
                <a:lumMod val="75000"/>
              </a:schemeClr>
            </a:solidFill>
          </a:endParaRPr>
        </a:p>
      </xdr:txBody>
    </xdr:sp>
    <xdr:clientData/>
  </xdr:twoCellAnchor>
  <xdr:twoCellAnchor>
    <xdr:from>
      <xdr:col>59</xdr:col>
      <xdr:colOff>60613</xdr:colOff>
      <xdr:row>18</xdr:row>
      <xdr:rowOff>152400</xdr:rowOff>
    </xdr:from>
    <xdr:to>
      <xdr:col>60</xdr:col>
      <xdr:colOff>203199</xdr:colOff>
      <xdr:row>20</xdr:row>
      <xdr:rowOff>63501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9221931" y="3131127"/>
          <a:ext cx="367723" cy="26612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tIns="36000" rIns="36000" bIns="36000" rtlCol="0" anchor="ctr" anchorCtr="0"/>
        <a:lstStyle/>
        <a:p>
          <a:pPr algn="l"/>
          <a:r>
            <a:rPr lang="en-US" sz="1100" b="1" i="0" u="none" strike="noStrike">
              <a:solidFill>
                <a:srgbClr val="000000"/>
              </a:solidFill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0 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11706</xdr:colOff>
      <xdr:row>2</xdr:row>
      <xdr:rowOff>2331</xdr:rowOff>
    </xdr:from>
    <xdr:to>
      <xdr:col>4</xdr:col>
      <xdr:colOff>71277</xdr:colOff>
      <xdr:row>3</xdr:row>
      <xdr:rowOff>190069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79" t="22794" r="67412" b="22941"/>
        <a:stretch>
          <a:fillRect/>
        </a:stretch>
      </xdr:blipFill>
      <xdr:spPr>
        <a:xfrm>
          <a:off x="789305" y="358775"/>
          <a:ext cx="508635" cy="3905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11706</xdr:colOff>
      <xdr:row>2</xdr:row>
      <xdr:rowOff>2331</xdr:rowOff>
    </xdr:from>
    <xdr:to>
      <xdr:col>4</xdr:col>
      <xdr:colOff>71277</xdr:colOff>
      <xdr:row>3</xdr:row>
      <xdr:rowOff>190069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79" t="22794" r="67412" b="22941"/>
        <a:stretch>
          <a:fillRect/>
        </a:stretch>
      </xdr:blipFill>
      <xdr:spPr>
        <a:xfrm>
          <a:off x="1122956" y="357931"/>
          <a:ext cx="510421" cy="3909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11706</xdr:colOff>
      <xdr:row>2</xdr:row>
      <xdr:rowOff>2331</xdr:rowOff>
    </xdr:from>
    <xdr:to>
      <xdr:col>4</xdr:col>
      <xdr:colOff>71277</xdr:colOff>
      <xdr:row>3</xdr:row>
      <xdr:rowOff>190069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79" t="22794" r="67412" b="22941"/>
        <a:stretch>
          <a:fillRect/>
        </a:stretch>
      </xdr:blipFill>
      <xdr:spPr>
        <a:xfrm>
          <a:off x="1118235" y="358775"/>
          <a:ext cx="508635" cy="3905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11706</xdr:colOff>
      <xdr:row>2</xdr:row>
      <xdr:rowOff>2331</xdr:rowOff>
    </xdr:from>
    <xdr:to>
      <xdr:col>4</xdr:col>
      <xdr:colOff>71277</xdr:colOff>
      <xdr:row>3</xdr:row>
      <xdr:rowOff>190069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79" t="22794" r="67412" b="22941"/>
        <a:stretch>
          <a:fillRect/>
        </a:stretch>
      </xdr:blipFill>
      <xdr:spPr>
        <a:xfrm>
          <a:off x="1118235" y="358775"/>
          <a:ext cx="508635" cy="3905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11706</xdr:colOff>
      <xdr:row>2</xdr:row>
      <xdr:rowOff>2331</xdr:rowOff>
    </xdr:from>
    <xdr:to>
      <xdr:col>4</xdr:col>
      <xdr:colOff>71277</xdr:colOff>
      <xdr:row>3</xdr:row>
      <xdr:rowOff>190069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79" t="22794" r="67412" b="22941"/>
        <a:stretch>
          <a:fillRect/>
        </a:stretch>
      </xdr:blipFill>
      <xdr:spPr>
        <a:xfrm>
          <a:off x="1118235" y="358775"/>
          <a:ext cx="508635" cy="39052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11706</xdr:colOff>
      <xdr:row>2</xdr:row>
      <xdr:rowOff>2331</xdr:rowOff>
    </xdr:from>
    <xdr:to>
      <xdr:col>4</xdr:col>
      <xdr:colOff>71277</xdr:colOff>
      <xdr:row>3</xdr:row>
      <xdr:rowOff>190069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79" t="22794" r="67412" b="22941"/>
        <a:stretch>
          <a:fillRect/>
        </a:stretch>
      </xdr:blipFill>
      <xdr:spPr>
        <a:xfrm>
          <a:off x="1118235" y="358775"/>
          <a:ext cx="508635" cy="39052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11706</xdr:colOff>
      <xdr:row>2</xdr:row>
      <xdr:rowOff>2331</xdr:rowOff>
    </xdr:from>
    <xdr:to>
      <xdr:col>4</xdr:col>
      <xdr:colOff>71277</xdr:colOff>
      <xdr:row>3</xdr:row>
      <xdr:rowOff>190069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79" t="22794" r="67412" b="22941"/>
        <a:stretch>
          <a:fillRect/>
        </a:stretch>
      </xdr:blipFill>
      <xdr:spPr>
        <a:xfrm>
          <a:off x="1118235" y="358775"/>
          <a:ext cx="508635" cy="3905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11706</xdr:colOff>
      <xdr:row>2</xdr:row>
      <xdr:rowOff>2331</xdr:rowOff>
    </xdr:from>
    <xdr:to>
      <xdr:col>4</xdr:col>
      <xdr:colOff>71277</xdr:colOff>
      <xdr:row>3</xdr:row>
      <xdr:rowOff>190069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79" t="22794" r="67412" b="22941"/>
        <a:stretch>
          <a:fillRect/>
        </a:stretch>
      </xdr:blipFill>
      <xdr:spPr>
        <a:xfrm>
          <a:off x="1122956" y="357931"/>
          <a:ext cx="510421" cy="390938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11706</xdr:colOff>
      <xdr:row>2</xdr:row>
      <xdr:rowOff>2331</xdr:rowOff>
    </xdr:from>
    <xdr:to>
      <xdr:col>4</xdr:col>
      <xdr:colOff>71277</xdr:colOff>
      <xdr:row>3</xdr:row>
      <xdr:rowOff>190069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79" t="22794" r="67412" b="22941"/>
        <a:stretch>
          <a:fillRect/>
        </a:stretch>
      </xdr:blipFill>
      <xdr:spPr>
        <a:xfrm>
          <a:off x="1118235" y="358775"/>
          <a:ext cx="508635" cy="390525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33</xdr:col>
      <xdr:colOff>471350</xdr:colOff>
      <xdr:row>57</xdr:row>
      <xdr:rowOff>177800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0" y="0"/>
          <a:ext cx="13946050" cy="1109345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11706</xdr:colOff>
      <xdr:row>2</xdr:row>
      <xdr:rowOff>2331</xdr:rowOff>
    </xdr:from>
    <xdr:to>
      <xdr:col>4</xdr:col>
      <xdr:colOff>71277</xdr:colOff>
      <xdr:row>3</xdr:row>
      <xdr:rowOff>190069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79" t="22794" r="67412" b="22941"/>
        <a:stretch>
          <a:fillRect/>
        </a:stretch>
      </xdr:blipFill>
      <xdr:spPr>
        <a:xfrm>
          <a:off x="1122956" y="357931"/>
          <a:ext cx="510421" cy="390938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11706</xdr:colOff>
      <xdr:row>2</xdr:row>
      <xdr:rowOff>2331</xdr:rowOff>
    </xdr:from>
    <xdr:to>
      <xdr:col>4</xdr:col>
      <xdr:colOff>71277</xdr:colOff>
      <xdr:row>3</xdr:row>
      <xdr:rowOff>190069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66DF84E-2B3B-4E7F-A2C7-24A5C9D81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79" t="22794" r="67412" b="22941"/>
        <a:stretch>
          <a:fillRect/>
        </a:stretch>
      </xdr:blipFill>
      <xdr:spPr>
        <a:xfrm>
          <a:off x="1122956" y="357931"/>
          <a:ext cx="510421" cy="39093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11706</xdr:colOff>
      <xdr:row>2</xdr:row>
      <xdr:rowOff>2331</xdr:rowOff>
    </xdr:from>
    <xdr:to>
      <xdr:col>4</xdr:col>
      <xdr:colOff>71277</xdr:colOff>
      <xdr:row>3</xdr:row>
      <xdr:rowOff>190069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79" t="22794" r="67412" b="22941"/>
        <a:stretch>
          <a:fillRect/>
        </a:stretch>
      </xdr:blipFill>
      <xdr:spPr>
        <a:xfrm>
          <a:off x="1122956" y="357931"/>
          <a:ext cx="510421" cy="390938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34</xdr:col>
      <xdr:colOff>1450</xdr:colOff>
      <xdr:row>58</xdr:row>
      <xdr:rowOff>50800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0" y="0"/>
          <a:ext cx="13946050" cy="1109345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24" displayName="Table24" ref="B3:X65" totalsRowShown="0" dataDxfId="27">
  <tableColumns count="23">
    <tableColumn id="1" xr3:uid="{00000000-0010-0000-0000-000001000000}" name="Raw Material" dataDxfId="26"/>
    <tableColumn id="2" xr3:uid="{00000000-0010-0000-0000-000002000000}" name="M SAND" dataDxfId="25"/>
    <tableColumn id="3" xr3:uid="{00000000-0010-0000-0000-000003000000}" name="M SAND " dataDxfId="24"/>
    <tableColumn id="4" xr3:uid="{00000000-0010-0000-0000-000004000000}" name="12 MM" dataDxfId="23"/>
    <tableColumn id="5" xr3:uid="{00000000-0010-0000-0000-000005000000}" name="20 MM" dataDxfId="22"/>
    <tableColumn id="6" xr3:uid="{00000000-0010-0000-0000-000006000000}" name="0" dataDxfId="21"/>
    <tableColumn id="7" xr3:uid="{00000000-0010-0000-0000-000007000000}" name="CEM 1" dataDxfId="20"/>
    <tableColumn id="8" xr3:uid="{00000000-0010-0000-0000-000008000000}" name="CEM 2" dataDxfId="19"/>
    <tableColumn id="9" xr3:uid="{00000000-0010-0000-0000-000009000000}" name="CEM 3" dataDxfId="18"/>
    <tableColumn id="10" xr3:uid="{00000000-0010-0000-0000-00000A000000}" name="ADMIX1" dataDxfId="17"/>
    <tableColumn id="11" xr3:uid="{00000000-0010-0000-0000-00000B000000}" name="ADMIX2" dataDxfId="16"/>
    <tableColumn id="12" xr3:uid="{00000000-0010-0000-0000-00000C000000}" name="WATER" dataDxfId="15"/>
    <tableColumn id="13" xr3:uid="{00000000-0010-0000-0000-00000D000000}" name="M SAND %" dataDxfId="14"/>
    <tableColumn id="14" xr3:uid="{00000000-0010-0000-0000-00000E000000}" name="M SAND %2" dataDxfId="13"/>
    <tableColumn id="15" xr3:uid="{00000000-0010-0000-0000-00000F000000}" name="12 MM %" dataDxfId="12"/>
    <tableColumn id="16" xr3:uid="{00000000-0010-0000-0000-000010000000}" name="20 MM %" dataDxfId="11"/>
    <tableColumn id="17" xr3:uid="{00000000-0010-0000-0000-000011000000}" name="20MM%" dataDxfId="10"/>
    <tableColumn id="18" xr3:uid="{00000000-0010-0000-0000-000012000000}" name="M SAND%" dataDxfId="9"/>
    <tableColumn id="19" xr3:uid="{00000000-0010-0000-0000-000013000000}" name="12 MM%" dataDxfId="8"/>
    <tableColumn id="20" xr3:uid="{00000000-0010-0000-0000-000014000000}" name="20 MM%" dataDxfId="7"/>
    <tableColumn id="21" xr3:uid="{00000000-0010-0000-0000-000015000000}" name="min" dataDxfId="6"/>
    <tableColumn id="22" xr3:uid="{00000000-0010-0000-0000-000016000000}" name="max" dataDxfId="5"/>
    <tableColumn id="23" xr3:uid="{9CA514A3-51F1-432A-9AF0-C99FDF58A211}" name="Mix Name" dataDxfId="4">
      <calculatedColumnFormula>Table24[[#This Row],[Raw Material]]</calculatedColumnFormula>
    </tableColumn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A1:CK134"/>
  <sheetViews>
    <sheetView showGridLines="0" topLeftCell="A21" zoomScale="99" zoomScaleNormal="99" workbookViewId="0">
      <selection activeCell="AZ34" sqref="AZ34:BP34"/>
    </sheetView>
  </sheetViews>
  <sheetFormatPr defaultColWidth="8.7265625" defaultRowHeight="14.5"/>
  <cols>
    <col min="1" max="3" width="3.453125" style="55" customWidth="1"/>
    <col min="4" max="4" width="1.453125" style="55" customWidth="1"/>
    <col min="5" max="5" width="1.26953125" style="55" customWidth="1"/>
    <col min="6" max="6" width="1.453125" style="55" customWidth="1"/>
    <col min="7" max="7" width="2.26953125" style="55" customWidth="1"/>
    <col min="8" max="10" width="3.453125" style="55" customWidth="1"/>
    <col min="11" max="11" width="1" style="55" customWidth="1"/>
    <col min="12" max="12" width="3" style="55" customWidth="1"/>
    <col min="13" max="13" width="0.7265625" style="55" customWidth="1"/>
    <col min="14" max="15" width="3" style="55" customWidth="1"/>
    <col min="16" max="16" width="1.26953125" style="55" customWidth="1"/>
    <col min="17" max="19" width="2.81640625" style="55" customWidth="1"/>
    <col min="20" max="20" width="0.81640625" style="55" customWidth="1"/>
    <col min="21" max="21" width="1.81640625" style="55" customWidth="1"/>
    <col min="22" max="22" width="1.26953125" style="55" customWidth="1"/>
    <col min="23" max="23" width="1.453125" style="55" customWidth="1"/>
    <col min="24" max="24" width="2.26953125" style="55" customWidth="1"/>
    <col min="25" max="27" width="3.453125" style="55" customWidth="1"/>
    <col min="28" max="28" width="1" style="55" customWidth="1"/>
    <col min="29" max="29" width="3" style="55" customWidth="1"/>
    <col min="30" max="30" width="0.7265625" style="55" customWidth="1"/>
    <col min="31" max="32" width="3" style="55" customWidth="1"/>
    <col min="33" max="33" width="1.26953125" style="55" customWidth="1"/>
    <col min="34" max="34" width="3.54296875" style="55" customWidth="1"/>
    <col min="35" max="36" width="2.81640625" style="55" customWidth="1"/>
    <col min="37" max="37" width="0.81640625" style="55" customWidth="1"/>
    <col min="38" max="38" width="1.453125" style="55" customWidth="1"/>
    <col min="39" max="39" width="1.26953125" style="55" customWidth="1"/>
    <col min="40" max="40" width="1.453125" style="55" customWidth="1"/>
    <col min="41" max="41" width="2.26953125" style="55" customWidth="1"/>
    <col min="42" max="42" width="4.26953125" style="55" customWidth="1"/>
    <col min="43" max="44" width="3.453125" style="55" customWidth="1"/>
    <col min="45" max="45" width="1" style="55" customWidth="1"/>
    <col min="46" max="46" width="3" style="55" customWidth="1"/>
    <col min="47" max="47" width="0.7265625" style="55" customWidth="1"/>
    <col min="48" max="49" width="3" style="55" customWidth="1"/>
    <col min="50" max="50" width="1.26953125" style="55" customWidth="1"/>
    <col min="51" max="53" width="2.81640625" style="55" customWidth="1"/>
    <col min="54" max="54" width="0.81640625" style="55" customWidth="1"/>
    <col min="55" max="55" width="2.1796875" style="55" customWidth="1"/>
    <col min="56" max="56" width="1.26953125" style="55" customWidth="1"/>
    <col min="57" max="57" width="1.453125" style="55" customWidth="1"/>
    <col min="58" max="58" width="2.26953125" style="55" customWidth="1"/>
    <col min="59" max="61" width="3.453125" style="55" customWidth="1"/>
    <col min="62" max="62" width="1" style="55" customWidth="1"/>
    <col min="63" max="63" width="3" style="55" customWidth="1"/>
    <col min="64" max="64" width="0.7265625" style="55" customWidth="1"/>
    <col min="65" max="66" width="3" style="55" customWidth="1"/>
    <col min="67" max="67" width="1.26953125" style="55" customWidth="1"/>
    <col min="68" max="68" width="2.81640625" style="55" customWidth="1"/>
    <col min="69" max="69" width="4.26953125" style="55" customWidth="1"/>
    <col min="70" max="70" width="1.54296875" style="55" customWidth="1"/>
    <col min="71" max="71" width="0.81640625" style="55" customWidth="1"/>
    <col min="72" max="72" width="0.54296875" style="55" customWidth="1"/>
    <col min="73" max="85" width="3.453125" style="55" customWidth="1"/>
    <col min="86" max="86" width="13.54296875" style="55" customWidth="1"/>
    <col min="87" max="87" width="3.453125" style="55" customWidth="1"/>
    <col min="88" max="88" width="34.453125" style="55" customWidth="1"/>
    <col min="89" max="89" width="6.453125" style="55" customWidth="1"/>
    <col min="90" max="90" width="18.1796875" style="55" customWidth="1"/>
    <col min="91" max="16384" width="8.7265625" style="55"/>
  </cols>
  <sheetData>
    <row r="1" spans="1:72">
      <c r="A1" s="54"/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4"/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BL1" s="54"/>
      <c r="BM1" s="54"/>
      <c r="BN1" s="54"/>
      <c r="BO1" s="54"/>
      <c r="BP1" s="54"/>
      <c r="BQ1" s="54"/>
      <c r="BR1" s="54"/>
      <c r="BS1" s="54"/>
      <c r="BT1" s="54"/>
    </row>
    <row r="2" spans="1:72">
      <c r="A2" s="177"/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</row>
    <row r="4" spans="1:72" ht="6" customHeight="1"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  <c r="AE4" s="56"/>
      <c r="AF4" s="56"/>
      <c r="AG4" s="56"/>
      <c r="AH4" s="56"/>
      <c r="AI4" s="56"/>
      <c r="AJ4" s="56"/>
      <c r="AK4" s="56"/>
      <c r="AL4" s="56"/>
      <c r="AM4" s="56"/>
      <c r="AN4" s="56"/>
      <c r="AO4" s="56"/>
      <c r="AP4" s="56"/>
      <c r="AQ4" s="56"/>
      <c r="AR4" s="56"/>
      <c r="AS4" s="56"/>
      <c r="AT4" s="56"/>
      <c r="AU4" s="56"/>
      <c r="AV4" s="56"/>
      <c r="AW4" s="56"/>
      <c r="AX4" s="56"/>
      <c r="AY4" s="56"/>
      <c r="AZ4" s="56"/>
      <c r="BA4" s="56"/>
      <c r="BB4" s="56"/>
      <c r="BC4" s="56"/>
      <c r="BD4" s="56"/>
      <c r="BE4" s="56"/>
      <c r="BF4" s="56"/>
      <c r="BG4" s="56"/>
      <c r="BH4" s="56"/>
      <c r="BI4" s="56"/>
      <c r="BJ4" s="56"/>
      <c r="BK4" s="56"/>
      <c r="BL4" s="56"/>
      <c r="BM4" s="56"/>
      <c r="BN4" s="56"/>
      <c r="BO4" s="56"/>
      <c r="BP4" s="56"/>
      <c r="BQ4" s="56"/>
      <c r="BR4" s="56"/>
      <c r="BS4" s="56"/>
      <c r="BT4" s="56"/>
    </row>
    <row r="5" spans="1:72">
      <c r="D5" s="56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6"/>
      <c r="V5" s="58"/>
      <c r="W5" s="58"/>
      <c r="X5" s="58"/>
      <c r="Y5" s="58"/>
      <c r="Z5" s="58"/>
      <c r="AA5" s="58"/>
      <c r="AB5" s="58"/>
      <c r="AC5" s="58"/>
      <c r="AD5" s="58"/>
      <c r="AE5" s="58"/>
      <c r="AF5" s="58"/>
      <c r="AG5" s="58"/>
      <c r="AH5" s="58"/>
      <c r="AI5" s="58"/>
      <c r="AJ5" s="58"/>
      <c r="AK5" s="58"/>
      <c r="AL5" s="56"/>
      <c r="AM5" s="59"/>
      <c r="AN5" s="59"/>
      <c r="AO5" s="59"/>
      <c r="AP5" s="59"/>
      <c r="AQ5" s="59"/>
      <c r="AR5" s="59"/>
      <c r="AS5" s="59"/>
      <c r="AT5" s="59"/>
      <c r="AU5" s="59"/>
      <c r="AV5" s="59"/>
      <c r="AW5" s="59"/>
      <c r="AX5" s="59"/>
      <c r="AY5" s="59"/>
      <c r="AZ5" s="59"/>
      <c r="BA5" s="59"/>
      <c r="BB5" s="59"/>
      <c r="BC5" s="56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1"/>
    </row>
    <row r="6" spans="1:72" s="62" customFormat="1" ht="24" customHeight="1">
      <c r="D6" s="63"/>
      <c r="E6" s="64"/>
      <c r="F6" s="65" t="s">
        <v>81</v>
      </c>
      <c r="G6" s="65"/>
      <c r="H6" s="64"/>
      <c r="I6" s="64"/>
      <c r="J6" s="64"/>
      <c r="K6" s="64"/>
      <c r="L6" s="65" t="s">
        <v>82</v>
      </c>
      <c r="M6" s="65"/>
      <c r="N6" s="64"/>
      <c r="O6" s="64"/>
      <c r="P6" s="64"/>
      <c r="Q6" s="65" t="s">
        <v>83</v>
      </c>
      <c r="R6" s="64"/>
      <c r="S6" s="64"/>
      <c r="T6" s="64"/>
      <c r="U6" s="63"/>
      <c r="V6" s="66"/>
      <c r="W6" s="67" t="s">
        <v>81</v>
      </c>
      <c r="X6" s="67"/>
      <c r="Y6" s="67"/>
      <c r="Z6" s="67"/>
      <c r="AA6" s="67"/>
      <c r="AB6" s="67"/>
      <c r="AC6" s="67" t="s">
        <v>82</v>
      </c>
      <c r="AD6" s="67"/>
      <c r="AE6" s="67"/>
      <c r="AF6" s="67"/>
      <c r="AG6" s="67"/>
      <c r="AH6" s="67" t="s">
        <v>83</v>
      </c>
      <c r="AI6" s="67"/>
      <c r="AJ6" s="67"/>
      <c r="AK6" s="67"/>
      <c r="AL6" s="63"/>
      <c r="AM6" s="68"/>
      <c r="AN6" s="69" t="s">
        <v>81</v>
      </c>
      <c r="AO6" s="69"/>
      <c r="AP6" s="69"/>
      <c r="AQ6" s="69"/>
      <c r="AR6" s="69"/>
      <c r="AS6" s="69"/>
      <c r="AT6" s="69" t="s">
        <v>82</v>
      </c>
      <c r="AU6" s="69"/>
      <c r="AV6" s="69"/>
      <c r="AW6" s="69"/>
      <c r="AX6" s="69"/>
      <c r="AY6" s="69" t="s">
        <v>83</v>
      </c>
      <c r="AZ6" s="69"/>
      <c r="BA6" s="69"/>
      <c r="BB6" s="68"/>
      <c r="BC6" s="63"/>
      <c r="BD6" s="60"/>
      <c r="BE6" s="60" t="s">
        <v>81</v>
      </c>
      <c r="BF6" s="60"/>
      <c r="BG6" s="60"/>
      <c r="BH6" s="60"/>
      <c r="BI6" s="60"/>
      <c r="BJ6" s="60"/>
      <c r="BK6" s="60" t="s">
        <v>82</v>
      </c>
      <c r="BL6" s="60"/>
      <c r="BM6" s="60"/>
      <c r="BN6" s="60"/>
      <c r="BO6" s="60"/>
      <c r="BP6" s="60" t="s">
        <v>83</v>
      </c>
      <c r="BQ6" s="60"/>
      <c r="BR6" s="60"/>
      <c r="BS6" s="60"/>
      <c r="BT6" s="70"/>
    </row>
    <row r="7" spans="1:72" s="71" customFormat="1" ht="14">
      <c r="D7" s="72"/>
      <c r="E7" s="73"/>
      <c r="F7" s="224">
        <v>0</v>
      </c>
      <c r="G7" s="224"/>
      <c r="H7" s="224"/>
      <c r="I7" s="224"/>
      <c r="J7" s="224"/>
      <c r="K7" s="73"/>
      <c r="L7" s="222">
        <v>0</v>
      </c>
      <c r="M7" s="222"/>
      <c r="N7" s="222"/>
      <c r="O7" s="222"/>
      <c r="P7" s="73"/>
      <c r="Q7" s="222">
        <v>41</v>
      </c>
      <c r="R7" s="222"/>
      <c r="S7" s="222"/>
      <c r="T7" s="73"/>
      <c r="U7" s="72"/>
      <c r="V7" s="74"/>
      <c r="W7" s="224">
        <v>0</v>
      </c>
      <c r="X7" s="224"/>
      <c r="Y7" s="224"/>
      <c r="Z7" s="224"/>
      <c r="AA7" s="224"/>
      <c r="AB7" s="67"/>
      <c r="AC7" s="222">
        <v>0</v>
      </c>
      <c r="AD7" s="222"/>
      <c r="AE7" s="222"/>
      <c r="AF7" s="222"/>
      <c r="AG7" s="67"/>
      <c r="AH7" s="222">
        <v>2</v>
      </c>
      <c r="AI7" s="222"/>
      <c r="AJ7" s="222"/>
      <c r="AK7" s="74"/>
      <c r="AL7" s="72"/>
      <c r="AM7" s="75"/>
      <c r="AN7" s="224">
        <v>0</v>
      </c>
      <c r="AO7" s="224"/>
      <c r="AP7" s="224"/>
      <c r="AQ7" s="224"/>
      <c r="AR7" s="224"/>
      <c r="AS7" s="69"/>
      <c r="AT7" s="222">
        <v>0</v>
      </c>
      <c r="AU7" s="222"/>
      <c r="AV7" s="222"/>
      <c r="AW7" s="222"/>
      <c r="AX7" s="69"/>
      <c r="AY7" s="222">
        <v>1</v>
      </c>
      <c r="AZ7" s="222"/>
      <c r="BA7" s="222"/>
      <c r="BB7" s="75"/>
      <c r="BC7" s="72"/>
      <c r="BD7" s="60"/>
      <c r="BE7" s="224"/>
      <c r="BF7" s="224"/>
      <c r="BG7" s="224"/>
      <c r="BH7" s="224"/>
      <c r="BI7" s="224"/>
      <c r="BJ7" s="76"/>
      <c r="BK7" s="189">
        <v>0</v>
      </c>
      <c r="BL7" s="189"/>
      <c r="BM7" s="189"/>
      <c r="BN7" s="189"/>
      <c r="BO7" s="60"/>
      <c r="BP7" s="189">
        <v>0.21</v>
      </c>
      <c r="BQ7" s="189"/>
      <c r="BR7" s="189"/>
      <c r="BS7" s="60"/>
      <c r="BT7" s="77"/>
    </row>
    <row r="8" spans="1:72" s="71" customFormat="1" ht="14">
      <c r="D8" s="72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2"/>
      <c r="V8" s="74"/>
      <c r="W8" s="74"/>
      <c r="X8" s="74"/>
      <c r="Y8" s="74"/>
      <c r="Z8" s="74"/>
      <c r="AA8" s="74"/>
      <c r="AB8" s="67"/>
      <c r="AC8" s="74"/>
      <c r="AD8" s="74"/>
      <c r="AE8" s="74"/>
      <c r="AF8" s="74"/>
      <c r="AG8" s="67"/>
      <c r="AH8" s="74"/>
      <c r="AI8" s="74"/>
      <c r="AJ8" s="74"/>
      <c r="AK8" s="74"/>
      <c r="AL8" s="72"/>
      <c r="AM8" s="75"/>
      <c r="AN8" s="75"/>
      <c r="AO8" s="75"/>
      <c r="AP8" s="75"/>
      <c r="AQ8" s="75"/>
      <c r="AR8" s="75"/>
      <c r="AS8" s="75"/>
      <c r="AT8" s="75"/>
      <c r="AU8" s="75"/>
      <c r="AV8" s="75"/>
      <c r="AW8" s="75"/>
      <c r="AX8" s="69"/>
      <c r="AY8" s="75"/>
      <c r="AZ8" s="75"/>
      <c r="BA8" s="75"/>
      <c r="BB8" s="75"/>
      <c r="BC8" s="72"/>
      <c r="BD8" s="76"/>
      <c r="BE8" s="76"/>
      <c r="BF8" s="76"/>
      <c r="BG8" s="76"/>
      <c r="BH8" s="76"/>
      <c r="BI8" s="76"/>
      <c r="BJ8" s="76"/>
      <c r="BK8" s="76"/>
      <c r="BL8" s="76"/>
      <c r="BM8" s="76"/>
      <c r="BN8" s="76"/>
      <c r="BO8" s="60"/>
      <c r="BP8" s="76"/>
      <c r="BQ8" s="76"/>
      <c r="BR8" s="76"/>
      <c r="BS8" s="76"/>
      <c r="BT8" s="77"/>
    </row>
    <row r="9" spans="1:72" s="71" customFormat="1" ht="14">
      <c r="D9" s="72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2"/>
      <c r="V9" s="74"/>
      <c r="W9" s="74"/>
      <c r="X9" s="74"/>
      <c r="Y9" s="74"/>
      <c r="Z9" s="74"/>
      <c r="AA9" s="74"/>
      <c r="AB9" s="74"/>
      <c r="AC9" s="74"/>
      <c r="AD9" s="74"/>
      <c r="AE9" s="74"/>
      <c r="AF9" s="74"/>
      <c r="AG9" s="74"/>
      <c r="AH9" s="74"/>
      <c r="AI9" s="74"/>
      <c r="AJ9" s="74"/>
      <c r="AK9" s="74"/>
      <c r="AL9" s="72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5"/>
      <c r="BA9" s="75"/>
      <c r="BB9" s="75"/>
      <c r="BC9" s="72"/>
      <c r="BD9" s="76"/>
      <c r="BE9" s="76"/>
      <c r="BF9" s="76"/>
      <c r="BG9" s="76"/>
      <c r="BH9" s="76"/>
      <c r="BI9" s="76"/>
      <c r="BJ9" s="76"/>
      <c r="BK9" s="76"/>
      <c r="BL9" s="76"/>
      <c r="BM9" s="76"/>
      <c r="BN9" s="76"/>
      <c r="BO9" s="76"/>
      <c r="BP9" s="76"/>
      <c r="BQ9" s="76"/>
      <c r="BR9" s="76"/>
      <c r="BS9" s="76"/>
      <c r="BT9" s="77"/>
    </row>
    <row r="10" spans="1:72" s="71" customFormat="1" ht="17.5" customHeight="1">
      <c r="D10" s="72"/>
      <c r="E10" s="73"/>
      <c r="F10" s="73"/>
      <c r="G10" s="222" t="s">
        <v>84</v>
      </c>
      <c r="H10" s="222"/>
      <c r="I10" s="222"/>
      <c r="J10" s="222"/>
      <c r="K10" s="222"/>
      <c r="L10" s="222"/>
      <c r="M10" s="73"/>
      <c r="N10" s="223">
        <f>Q7</f>
        <v>41</v>
      </c>
      <c r="O10" s="223"/>
      <c r="P10" s="223"/>
      <c r="Q10" s="223"/>
      <c r="R10" s="223"/>
      <c r="S10" s="223"/>
      <c r="T10" s="73"/>
      <c r="U10" s="72"/>
      <c r="V10" s="74"/>
      <c r="W10" s="74"/>
      <c r="X10" s="222" t="s">
        <v>84</v>
      </c>
      <c r="Y10" s="222"/>
      <c r="Z10" s="222"/>
      <c r="AA10" s="222"/>
      <c r="AB10" s="222"/>
      <c r="AC10" s="222"/>
      <c r="AD10" s="74"/>
      <c r="AE10" s="223">
        <f>AH7</f>
        <v>2</v>
      </c>
      <c r="AF10" s="223"/>
      <c r="AG10" s="223"/>
      <c r="AH10" s="223"/>
      <c r="AI10" s="223"/>
      <c r="AJ10" s="223"/>
      <c r="AK10" s="74"/>
      <c r="AL10" s="72"/>
      <c r="AM10" s="75"/>
      <c r="AN10" s="75"/>
      <c r="AO10" s="222" t="s">
        <v>84</v>
      </c>
      <c r="AP10" s="222"/>
      <c r="AQ10" s="222"/>
      <c r="AR10" s="222"/>
      <c r="AS10" s="222"/>
      <c r="AT10" s="222"/>
      <c r="AU10" s="75"/>
      <c r="AV10" s="223">
        <f>AY7</f>
        <v>1</v>
      </c>
      <c r="AW10" s="223"/>
      <c r="AX10" s="223"/>
      <c r="AY10" s="223"/>
      <c r="AZ10" s="223"/>
      <c r="BA10" s="223"/>
      <c r="BB10" s="75"/>
      <c r="BC10" s="72"/>
      <c r="BD10" s="76"/>
      <c r="BE10" s="76"/>
      <c r="BF10" s="222" t="s">
        <v>84</v>
      </c>
      <c r="BG10" s="222"/>
      <c r="BH10" s="222"/>
      <c r="BI10" s="222"/>
      <c r="BJ10" s="222"/>
      <c r="BK10" s="222"/>
      <c r="BL10" s="76"/>
      <c r="BM10" s="192">
        <f>BP7</f>
        <v>0.21</v>
      </c>
      <c r="BN10" s="192"/>
      <c r="BO10" s="192"/>
      <c r="BP10" s="192"/>
      <c r="BQ10" s="192"/>
      <c r="BR10" s="192"/>
      <c r="BS10" s="78"/>
      <c r="BT10" s="77"/>
    </row>
    <row r="11" spans="1:72" s="71" customFormat="1" ht="4" customHeight="1">
      <c r="D11" s="72"/>
      <c r="E11" s="73"/>
      <c r="F11" s="73"/>
      <c r="G11" s="73"/>
      <c r="H11" s="73"/>
      <c r="I11" s="73"/>
      <c r="J11" s="73"/>
      <c r="K11" s="73"/>
      <c r="L11" s="73"/>
      <c r="M11" s="73"/>
      <c r="N11" s="223"/>
      <c r="O11" s="223"/>
      <c r="P11" s="223"/>
      <c r="Q11" s="223"/>
      <c r="R11" s="223"/>
      <c r="S11" s="223"/>
      <c r="T11" s="73"/>
      <c r="U11" s="72"/>
      <c r="V11" s="74"/>
      <c r="W11" s="74"/>
      <c r="X11" s="74"/>
      <c r="Y11" s="74"/>
      <c r="Z11" s="74"/>
      <c r="AA11" s="74"/>
      <c r="AB11" s="74"/>
      <c r="AC11" s="74"/>
      <c r="AD11" s="74"/>
      <c r="AE11" s="223"/>
      <c r="AF11" s="223"/>
      <c r="AG11" s="223"/>
      <c r="AH11" s="223"/>
      <c r="AI11" s="223"/>
      <c r="AJ11" s="223"/>
      <c r="AK11" s="74"/>
      <c r="AL11" s="72"/>
      <c r="AM11" s="75"/>
      <c r="AN11" s="75"/>
      <c r="AO11" s="75"/>
      <c r="AP11" s="75"/>
      <c r="AQ11" s="75"/>
      <c r="AR11" s="75"/>
      <c r="AS11" s="75"/>
      <c r="AT11" s="75"/>
      <c r="AU11" s="75"/>
      <c r="AV11" s="223"/>
      <c r="AW11" s="223"/>
      <c r="AX11" s="223"/>
      <c r="AY11" s="223"/>
      <c r="AZ11" s="223"/>
      <c r="BA11" s="223"/>
      <c r="BB11" s="75"/>
      <c r="BC11" s="72"/>
      <c r="BD11" s="76"/>
      <c r="BE11" s="76"/>
      <c r="BF11" s="76"/>
      <c r="BG11" s="76"/>
      <c r="BH11" s="76"/>
      <c r="BI11" s="76"/>
      <c r="BJ11" s="76"/>
      <c r="BK11" s="76"/>
      <c r="BL11" s="76"/>
      <c r="BM11" s="192"/>
      <c r="BN11" s="192"/>
      <c r="BO11" s="192"/>
      <c r="BP11" s="192"/>
      <c r="BQ11" s="192"/>
      <c r="BR11" s="192"/>
      <c r="BS11" s="78"/>
      <c r="BT11" s="77"/>
    </row>
    <row r="12" spans="1:72" s="71" customFormat="1" ht="14">
      <c r="D12" s="72"/>
      <c r="E12" s="73"/>
      <c r="F12" s="73"/>
      <c r="G12" s="73"/>
      <c r="H12" s="73"/>
      <c r="I12" s="73"/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  <c r="U12" s="72"/>
      <c r="V12" s="74"/>
      <c r="W12" s="74"/>
      <c r="X12" s="74"/>
      <c r="Y12" s="74"/>
      <c r="Z12" s="74"/>
      <c r="AA12" s="74"/>
      <c r="AB12" s="74"/>
      <c r="AC12" s="74"/>
      <c r="AD12" s="74"/>
      <c r="AE12" s="74"/>
      <c r="AF12" s="74"/>
      <c r="AG12" s="74"/>
      <c r="AH12" s="74"/>
      <c r="AI12" s="74"/>
      <c r="AJ12" s="74"/>
      <c r="AK12" s="74"/>
      <c r="AL12" s="72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5"/>
      <c r="BA12" s="75"/>
      <c r="BB12" s="75"/>
      <c r="BC12" s="72"/>
      <c r="BD12" s="76"/>
      <c r="BE12" s="76"/>
      <c r="BF12" s="76"/>
      <c r="BG12" s="76"/>
      <c r="BH12" s="76"/>
      <c r="BI12" s="76"/>
      <c r="BJ12" s="76"/>
      <c r="BK12" s="60" t="s">
        <v>82</v>
      </c>
      <c r="BL12" s="60"/>
      <c r="BM12" s="60"/>
      <c r="BN12" s="60"/>
      <c r="BO12" s="60"/>
      <c r="BP12" s="60" t="s">
        <v>83</v>
      </c>
      <c r="BQ12" s="60"/>
      <c r="BR12" s="60"/>
      <c r="BS12" s="76"/>
      <c r="BT12" s="77"/>
    </row>
    <row r="13" spans="1:72" s="71" customFormat="1" ht="15">
      <c r="D13" s="72"/>
      <c r="E13" s="73"/>
      <c r="F13" s="73"/>
      <c r="G13" s="73"/>
      <c r="H13" s="73"/>
      <c r="I13" s="73"/>
      <c r="J13" s="73"/>
      <c r="K13" s="73"/>
      <c r="L13" s="73"/>
      <c r="M13" s="73"/>
      <c r="N13" s="73"/>
      <c r="O13" s="73"/>
      <c r="P13" s="73"/>
      <c r="Q13" s="73"/>
      <c r="R13" s="73"/>
      <c r="S13" s="73"/>
      <c r="T13" s="73"/>
      <c r="U13" s="72"/>
      <c r="V13" s="74"/>
      <c r="W13" s="74"/>
      <c r="X13" s="74"/>
      <c r="Y13" s="74"/>
      <c r="Z13" s="74"/>
      <c r="AA13" s="74"/>
      <c r="AB13" s="74"/>
      <c r="AC13" s="74"/>
      <c r="AD13" s="74"/>
      <c r="AE13" s="74"/>
      <c r="AF13" s="74"/>
      <c r="AG13" s="74"/>
      <c r="AH13" s="74"/>
      <c r="AI13" s="74"/>
      <c r="AJ13" s="74"/>
      <c r="AK13" s="74"/>
      <c r="AL13" s="72"/>
      <c r="AM13" s="75"/>
      <c r="AN13" s="75"/>
      <c r="AO13" s="75"/>
      <c r="AP13" s="75"/>
      <c r="AQ13" s="75"/>
      <c r="AR13" s="75"/>
      <c r="AS13" s="75"/>
      <c r="AT13" s="75"/>
      <c r="AU13" s="75"/>
      <c r="AV13" s="75"/>
      <c r="AW13" s="75"/>
      <c r="AX13" s="75"/>
      <c r="AY13" s="75"/>
      <c r="AZ13" s="75"/>
      <c r="BA13" s="75"/>
      <c r="BB13" s="75"/>
      <c r="BC13" s="72"/>
      <c r="BD13" s="76"/>
      <c r="BE13" s="190" t="s">
        <v>85</v>
      </c>
      <c r="BF13" s="190"/>
      <c r="BG13" s="190"/>
      <c r="BH13" s="190"/>
      <c r="BI13" s="190"/>
      <c r="BJ13" s="76"/>
      <c r="BK13" s="189">
        <v>0</v>
      </c>
      <c r="BL13" s="189"/>
      <c r="BM13" s="189"/>
      <c r="BN13" s="189"/>
      <c r="BO13" s="76"/>
      <c r="BP13" s="189">
        <v>0</v>
      </c>
      <c r="BQ13" s="189"/>
      <c r="BR13" s="189"/>
      <c r="BS13" s="78"/>
      <c r="BT13" s="77"/>
    </row>
    <row r="14" spans="1:72" s="71" customFormat="1" ht="7" customHeight="1" thickBot="1">
      <c r="D14" s="72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  <c r="X14" s="72"/>
      <c r="Y14" s="72"/>
      <c r="Z14" s="72"/>
      <c r="AA14" s="72"/>
      <c r="AB14" s="72"/>
      <c r="AC14" s="72"/>
      <c r="AD14" s="72"/>
      <c r="AE14" s="72"/>
      <c r="AF14" s="72"/>
      <c r="AG14" s="72"/>
      <c r="AH14" s="72"/>
      <c r="AI14" s="72"/>
      <c r="AJ14" s="72"/>
      <c r="AK14" s="72"/>
      <c r="AL14" s="72"/>
      <c r="AM14" s="72"/>
      <c r="AN14" s="72"/>
      <c r="AO14" s="72"/>
      <c r="AP14" s="72"/>
      <c r="AQ14" s="72"/>
      <c r="AR14" s="72"/>
      <c r="AS14" s="72"/>
      <c r="AT14" s="72"/>
      <c r="AU14" s="72"/>
      <c r="AV14" s="72"/>
      <c r="AW14" s="72"/>
      <c r="AX14" s="72"/>
      <c r="AY14" s="72"/>
      <c r="AZ14" s="72"/>
      <c r="BA14" s="72"/>
      <c r="BB14" s="72"/>
      <c r="BC14" s="72"/>
      <c r="BD14" s="76"/>
      <c r="BE14" s="76"/>
      <c r="BF14" s="76"/>
      <c r="BG14" s="76"/>
      <c r="BH14" s="76"/>
      <c r="BI14" s="76"/>
      <c r="BJ14" s="76"/>
      <c r="BK14" s="76"/>
      <c r="BL14" s="76"/>
      <c r="BM14" s="76"/>
      <c r="BN14" s="76"/>
      <c r="BO14" s="76"/>
      <c r="BP14" s="76"/>
      <c r="BQ14" s="76"/>
      <c r="BR14" s="76"/>
      <c r="BS14" s="76"/>
      <c r="BT14" s="77"/>
    </row>
    <row r="15" spans="1:72" s="71" customFormat="1" ht="14">
      <c r="D15" s="72"/>
      <c r="E15" s="72"/>
      <c r="F15" s="72"/>
      <c r="G15" s="72"/>
      <c r="H15" s="72"/>
      <c r="I15" s="72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9" t="s">
        <v>100</v>
      </c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2"/>
      <c r="AJ15" s="205"/>
      <c r="AK15" s="206"/>
      <c r="AL15" s="206"/>
      <c r="AM15" s="206"/>
      <c r="AN15" s="206"/>
      <c r="AO15" s="207"/>
      <c r="AP15" s="72"/>
      <c r="AQ15" s="72"/>
      <c r="AR15" s="72"/>
      <c r="AS15" s="72"/>
      <c r="AT15" s="72"/>
      <c r="AU15" s="72"/>
      <c r="AV15" s="72"/>
      <c r="AW15" s="72"/>
      <c r="AX15" s="72"/>
      <c r="AY15" s="72"/>
      <c r="AZ15" s="72"/>
      <c r="BA15" s="72"/>
      <c r="BB15" s="72"/>
      <c r="BC15" s="72"/>
      <c r="BD15" s="76"/>
      <c r="BE15" s="76"/>
      <c r="BF15" s="191" t="s">
        <v>84</v>
      </c>
      <c r="BG15" s="191"/>
      <c r="BH15" s="191"/>
      <c r="BI15" s="191"/>
      <c r="BJ15" s="191"/>
      <c r="BK15" s="191"/>
      <c r="BL15" s="76"/>
      <c r="BM15" s="192">
        <f>BP13</f>
        <v>0</v>
      </c>
      <c r="BN15" s="192"/>
      <c r="BO15" s="192"/>
      <c r="BP15" s="192"/>
      <c r="BQ15" s="192"/>
      <c r="BR15" s="192"/>
      <c r="BS15" s="78"/>
      <c r="BT15" s="77"/>
    </row>
    <row r="16" spans="1:72" s="71" customFormat="1" ht="3.65" customHeight="1" thickBot="1"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79"/>
      <c r="W16" s="79"/>
      <c r="X16" s="79"/>
      <c r="Y16" s="79"/>
      <c r="Z16" s="79"/>
      <c r="AA16" s="79"/>
      <c r="AB16" s="79"/>
      <c r="AC16" s="79"/>
      <c r="AD16" s="79"/>
      <c r="AE16" s="79"/>
      <c r="AF16" s="79"/>
      <c r="AG16" s="79"/>
      <c r="AH16" s="79"/>
      <c r="AI16" s="72"/>
      <c r="AJ16" s="72"/>
      <c r="AK16" s="72"/>
      <c r="AL16" s="72"/>
      <c r="AM16" s="72"/>
      <c r="AN16" s="72"/>
      <c r="AO16" s="72"/>
      <c r="AP16" s="72"/>
      <c r="AQ16" s="72"/>
      <c r="AR16" s="72"/>
      <c r="AS16" s="72"/>
      <c r="AT16" s="72"/>
      <c r="AU16" s="72"/>
      <c r="AV16" s="72"/>
      <c r="AW16" s="72"/>
      <c r="AX16" s="72"/>
      <c r="AY16" s="72"/>
      <c r="AZ16" s="72"/>
      <c r="BA16" s="72"/>
      <c r="BB16" s="72"/>
      <c r="BC16" s="72"/>
      <c r="BD16" s="76"/>
      <c r="BE16" s="76"/>
      <c r="BF16" s="76"/>
      <c r="BG16" s="76"/>
      <c r="BH16" s="76"/>
      <c r="BI16" s="76"/>
      <c r="BJ16" s="76"/>
      <c r="BK16" s="76"/>
      <c r="BL16" s="76"/>
      <c r="BM16" s="192"/>
      <c r="BN16" s="192"/>
      <c r="BO16" s="192"/>
      <c r="BP16" s="192"/>
      <c r="BQ16" s="192"/>
      <c r="BR16" s="192"/>
      <c r="BS16" s="78"/>
      <c r="BT16" s="77"/>
    </row>
    <row r="17" spans="4:72" s="71" customFormat="1" ht="14.5" customHeight="1">
      <c r="D17" s="234" t="s">
        <v>419</v>
      </c>
      <c r="E17" s="234"/>
      <c r="F17" s="234"/>
      <c r="G17" s="234"/>
      <c r="H17" s="234"/>
      <c r="I17" s="234"/>
      <c r="J17" s="230">
        <v>46218</v>
      </c>
      <c r="K17" s="230"/>
      <c r="L17" s="230"/>
      <c r="M17" s="230"/>
      <c r="N17" s="230"/>
      <c r="O17" s="230"/>
      <c r="P17" s="72"/>
      <c r="Q17" s="72"/>
      <c r="R17" s="72"/>
      <c r="S17" s="72"/>
      <c r="T17" s="72"/>
      <c r="U17" s="72"/>
      <c r="V17" s="79" t="s">
        <v>101</v>
      </c>
      <c r="W17" s="79"/>
      <c r="X17" s="79"/>
      <c r="Y17" s="79"/>
      <c r="Z17" s="79"/>
      <c r="AA17" s="79"/>
      <c r="AB17" s="79"/>
      <c r="AC17" s="79"/>
      <c r="AD17" s="79"/>
      <c r="AE17" s="79"/>
      <c r="AF17" s="79"/>
      <c r="AG17" s="79"/>
      <c r="AH17" s="79"/>
      <c r="AI17" s="72"/>
      <c r="AJ17" s="205"/>
      <c r="AK17" s="206"/>
      <c r="AL17" s="206"/>
      <c r="AM17" s="206"/>
      <c r="AN17" s="206"/>
      <c r="AO17" s="207"/>
      <c r="AP17" s="72"/>
      <c r="AQ17" s="72"/>
      <c r="AR17" s="72"/>
      <c r="AS17" s="72"/>
      <c r="AT17" s="72"/>
      <c r="AU17" s="72"/>
      <c r="AV17" s="72"/>
      <c r="AW17" s="72"/>
      <c r="AX17" s="72"/>
      <c r="AY17" s="72"/>
      <c r="AZ17" s="72"/>
      <c r="BA17" s="72"/>
      <c r="BB17" s="72"/>
      <c r="BC17" s="72"/>
      <c r="BD17" s="76"/>
      <c r="BE17" s="76"/>
      <c r="BF17" s="76"/>
      <c r="BG17" s="76"/>
      <c r="BH17" s="76"/>
      <c r="BI17" s="76"/>
      <c r="BJ17" s="76"/>
      <c r="BK17" s="76"/>
      <c r="BL17" s="76"/>
      <c r="BM17" s="76"/>
      <c r="BN17" s="76"/>
      <c r="BO17" s="76"/>
      <c r="BP17" s="76"/>
      <c r="BQ17" s="76"/>
      <c r="BR17" s="76"/>
      <c r="BS17" s="76"/>
      <c r="BT17" s="77"/>
    </row>
    <row r="18" spans="4:72" s="71" customFormat="1" ht="9" customHeight="1">
      <c r="D18" s="72"/>
      <c r="E18" s="72"/>
      <c r="F18" s="72"/>
      <c r="G18" s="72"/>
      <c r="H18" s="72"/>
      <c r="I18" s="72"/>
      <c r="J18" s="72"/>
      <c r="K18" s="72"/>
      <c r="L18" s="72"/>
      <c r="M18" s="72"/>
      <c r="N18" s="72"/>
      <c r="O18" s="72"/>
      <c r="P18" s="72"/>
      <c r="Q18" s="72"/>
      <c r="R18" s="72"/>
      <c r="S18" s="72"/>
      <c r="T18" s="72"/>
      <c r="U18" s="72"/>
      <c r="V18" s="72"/>
      <c r="W18" s="72"/>
      <c r="X18" s="72"/>
      <c r="Y18" s="72"/>
      <c r="Z18" s="72"/>
      <c r="AA18" s="72"/>
      <c r="AB18" s="72"/>
      <c r="AC18" s="72"/>
      <c r="AD18" s="72"/>
      <c r="AE18" s="72"/>
      <c r="AF18" s="72"/>
      <c r="AG18" s="72"/>
      <c r="AH18" s="72"/>
      <c r="AI18" s="72"/>
      <c r="AJ18" s="72"/>
      <c r="AK18" s="72"/>
      <c r="AL18" s="72"/>
      <c r="AM18" s="72"/>
      <c r="AN18" s="72"/>
      <c r="AO18" s="72"/>
      <c r="AP18" s="72"/>
      <c r="AQ18" s="72"/>
      <c r="AR18" s="72"/>
      <c r="AS18" s="72"/>
      <c r="AT18" s="72"/>
      <c r="AU18" s="72"/>
      <c r="AV18" s="72"/>
      <c r="AW18" s="72"/>
      <c r="AX18" s="72"/>
      <c r="AY18" s="72"/>
      <c r="AZ18" s="72"/>
      <c r="BA18" s="72"/>
      <c r="BB18" s="72"/>
      <c r="BC18" s="72"/>
      <c r="BD18" s="72"/>
      <c r="BE18" s="72"/>
      <c r="BF18" s="72"/>
      <c r="BG18" s="72"/>
      <c r="BH18" s="72"/>
      <c r="BI18" s="72"/>
      <c r="BJ18" s="72"/>
      <c r="BK18" s="72"/>
      <c r="BL18" s="72"/>
      <c r="BM18" s="72"/>
      <c r="BN18" s="72"/>
      <c r="BO18" s="72"/>
      <c r="BP18" s="72"/>
      <c r="BQ18" s="72"/>
      <c r="BR18" s="72"/>
      <c r="BS18" s="72"/>
      <c r="BT18" s="72"/>
    </row>
    <row r="19" spans="4:72" s="71" customFormat="1" ht="14.5" customHeight="1">
      <c r="D19" s="234" t="s">
        <v>420</v>
      </c>
      <c r="E19" s="234"/>
      <c r="F19" s="234"/>
      <c r="G19" s="234"/>
      <c r="H19" s="234"/>
      <c r="I19" s="234"/>
      <c r="J19" s="234"/>
      <c r="K19" s="231">
        <v>0.50232638888888892</v>
      </c>
      <c r="L19" s="231"/>
      <c r="M19" s="231"/>
      <c r="N19" s="231"/>
      <c r="O19" s="231"/>
      <c r="P19" s="231"/>
      <c r="Q19" s="72"/>
      <c r="R19" s="72"/>
      <c r="S19" s="72"/>
      <c r="T19" s="72"/>
      <c r="U19" s="72"/>
      <c r="V19" s="72"/>
      <c r="W19" s="72"/>
      <c r="X19" s="72"/>
      <c r="Y19" s="72"/>
      <c r="Z19" s="72"/>
      <c r="AA19" s="72"/>
      <c r="AB19" s="72"/>
      <c r="AC19" s="72"/>
      <c r="AD19" s="72"/>
      <c r="AE19" s="72"/>
      <c r="AF19" s="72"/>
      <c r="AG19" s="72"/>
      <c r="AH19" s="72"/>
      <c r="AI19" s="72"/>
      <c r="AJ19" s="72"/>
      <c r="AK19" s="72"/>
      <c r="AL19" s="72"/>
      <c r="AM19" s="72"/>
      <c r="AN19" s="72"/>
      <c r="AO19" s="72"/>
      <c r="AP19" s="72"/>
      <c r="AQ19" s="72"/>
      <c r="AR19" s="72"/>
      <c r="AS19" s="72"/>
      <c r="AT19" s="72"/>
      <c r="AU19" s="72"/>
      <c r="AV19" s="72"/>
      <c r="AW19" s="72"/>
      <c r="AX19" s="72"/>
      <c r="AY19" s="72"/>
      <c r="AZ19" s="72"/>
      <c r="BA19" s="72"/>
      <c r="BB19" s="72"/>
      <c r="BC19" s="72"/>
      <c r="BD19" s="72"/>
      <c r="BE19" s="72"/>
      <c r="BF19" s="72"/>
      <c r="BG19" s="72"/>
      <c r="BH19" s="72"/>
      <c r="BI19" s="72"/>
      <c r="BJ19" s="72"/>
      <c r="BK19" s="72"/>
      <c r="BL19" s="72"/>
      <c r="BM19" s="72"/>
      <c r="BN19" s="72"/>
      <c r="BO19" s="72"/>
      <c r="BP19" s="72"/>
      <c r="BQ19" s="72"/>
      <c r="BR19" s="72"/>
      <c r="BS19" s="72"/>
      <c r="BT19" s="72"/>
    </row>
    <row r="20" spans="4:72" s="71" customFormat="1" ht="13.5" customHeight="1" thickBot="1">
      <c r="D20" s="72"/>
      <c r="E20" s="72"/>
      <c r="F20" s="72"/>
      <c r="G20" s="72"/>
      <c r="H20" s="72"/>
      <c r="I20" s="72"/>
      <c r="J20" s="72"/>
      <c r="K20" s="72"/>
      <c r="L20" s="72"/>
      <c r="M20" s="72"/>
      <c r="N20" s="72"/>
      <c r="O20" s="72"/>
      <c r="P20" s="72"/>
      <c r="Q20" s="72"/>
      <c r="R20" s="72"/>
      <c r="S20" s="72"/>
      <c r="T20" s="72"/>
      <c r="U20" s="72"/>
      <c r="V20" s="72"/>
      <c r="W20" s="72"/>
      <c r="X20" s="72"/>
      <c r="Y20" s="72"/>
      <c r="Z20" s="72"/>
      <c r="AA20" s="72"/>
      <c r="AB20" s="72"/>
      <c r="AC20" s="217" t="s">
        <v>102</v>
      </c>
      <c r="AD20" s="217"/>
      <c r="AE20" s="217"/>
      <c r="AF20" s="217"/>
      <c r="AG20" s="217"/>
      <c r="AH20" s="217"/>
      <c r="AI20" s="217"/>
      <c r="AJ20" s="217"/>
      <c r="AK20" s="217"/>
      <c r="AL20" s="217"/>
      <c r="AM20" s="217"/>
      <c r="AN20" s="72"/>
      <c r="AO20" s="72"/>
      <c r="AP20" s="72"/>
      <c r="AQ20" s="72"/>
      <c r="AR20" s="72"/>
      <c r="AS20" s="72"/>
      <c r="AT20" s="72"/>
      <c r="AU20" s="72"/>
      <c r="AV20" s="72"/>
      <c r="AW20" s="72"/>
      <c r="AX20" s="72"/>
      <c r="AY20" s="72"/>
      <c r="AZ20" s="72"/>
      <c r="BA20" s="72"/>
      <c r="BB20" s="72"/>
      <c r="BC20" s="72"/>
      <c r="BD20" s="72"/>
      <c r="BE20" s="72"/>
      <c r="BF20" s="72"/>
      <c r="BG20" s="72"/>
      <c r="BH20" s="72"/>
      <c r="BI20" s="72"/>
      <c r="BJ20" s="72"/>
      <c r="BK20" s="72"/>
      <c r="BL20" s="72"/>
      <c r="BM20" s="72"/>
      <c r="BN20" s="72"/>
      <c r="BO20" s="72"/>
      <c r="BP20" s="72"/>
      <c r="BQ20" s="72"/>
      <c r="BR20" s="72"/>
      <c r="BS20" s="72"/>
      <c r="BT20" s="72"/>
    </row>
    <row r="21" spans="4:72" s="71" customFormat="1" thickBot="1">
      <c r="D21" s="234" t="s">
        <v>421</v>
      </c>
      <c r="E21" s="234"/>
      <c r="F21" s="234"/>
      <c r="G21" s="234"/>
      <c r="H21" s="234"/>
      <c r="I21" s="234"/>
      <c r="J21" s="234"/>
      <c r="K21" s="231">
        <v>0.51138888888888889</v>
      </c>
      <c r="L21" s="231"/>
      <c r="M21" s="231"/>
      <c r="N21" s="231"/>
      <c r="O21" s="231"/>
      <c r="P21" s="231"/>
      <c r="Q21" s="72"/>
      <c r="R21" s="72"/>
      <c r="S21" s="72"/>
      <c r="T21" s="72"/>
      <c r="U21" s="72"/>
      <c r="V21" s="72"/>
      <c r="W21" s="72"/>
      <c r="X21" s="72"/>
      <c r="Y21" s="72"/>
      <c r="Z21" s="72"/>
      <c r="AA21" s="72"/>
      <c r="AB21" s="72"/>
      <c r="AC21" s="72"/>
      <c r="AD21" s="72"/>
      <c r="AE21" s="208">
        <v>0</v>
      </c>
      <c r="AF21" s="209"/>
      <c r="AG21" s="210"/>
      <c r="AH21" s="80"/>
      <c r="AI21" s="211">
        <v>0</v>
      </c>
      <c r="AJ21" s="212"/>
      <c r="AK21" s="212"/>
      <c r="AL21" s="213"/>
      <c r="AM21" s="72"/>
      <c r="AN21" s="72"/>
      <c r="AO21" s="72"/>
      <c r="AP21" s="72"/>
      <c r="AQ21" s="72"/>
      <c r="AR21" s="72"/>
      <c r="AS21" s="72"/>
      <c r="AT21" s="72"/>
      <c r="AU21" s="72"/>
      <c r="AV21" s="72"/>
      <c r="AW21" s="72"/>
      <c r="AX21" s="72"/>
      <c r="AY21" s="72"/>
      <c r="AZ21" s="72"/>
      <c r="BA21" s="72"/>
      <c r="BB21" s="72"/>
      <c r="BC21" s="72"/>
      <c r="BD21" s="72"/>
      <c r="BE21" s="72"/>
      <c r="BF21" s="72"/>
      <c r="BG21" s="72"/>
      <c r="BH21" s="72"/>
      <c r="BI21" s="72"/>
      <c r="BJ21" s="72"/>
      <c r="BK21" s="72"/>
      <c r="BL21" s="72"/>
      <c r="BM21" s="72"/>
      <c r="BN21" s="72"/>
      <c r="BO21" s="72"/>
      <c r="BP21" s="72"/>
      <c r="BQ21" s="72"/>
      <c r="BR21" s="72"/>
      <c r="BS21" s="72"/>
      <c r="BT21" s="72"/>
    </row>
    <row r="22" spans="4:72" s="71" customFormat="1" ht="15" thickTop="1" thickBot="1">
      <c r="D22" s="72"/>
      <c r="E22" s="72"/>
      <c r="F22" s="72"/>
      <c r="G22" s="72"/>
      <c r="H22" s="72"/>
      <c r="I22" s="72"/>
      <c r="J22" s="72"/>
      <c r="K22" s="72"/>
      <c r="L22" s="72"/>
      <c r="M22" s="72"/>
      <c r="N22" s="72"/>
      <c r="O22" s="72"/>
      <c r="P22" s="72"/>
      <c r="Q22" s="72"/>
      <c r="R22" s="72"/>
      <c r="S22" s="72"/>
      <c r="T22" s="72"/>
      <c r="U22" s="72"/>
      <c r="V22" s="72"/>
      <c r="W22" s="72"/>
      <c r="X22" s="72"/>
      <c r="Y22" s="72"/>
      <c r="Z22" s="72"/>
      <c r="AA22" s="72"/>
      <c r="AB22" s="72"/>
      <c r="AC22" s="72"/>
      <c r="AD22" s="72"/>
      <c r="AE22" s="72"/>
      <c r="AF22" s="72"/>
      <c r="AG22" s="72"/>
      <c r="AH22" s="72"/>
      <c r="AI22" s="72"/>
      <c r="AJ22" s="72"/>
      <c r="AK22" s="72"/>
      <c r="AL22" s="72"/>
      <c r="AM22" s="72"/>
      <c r="AN22" s="72"/>
      <c r="AO22" s="72"/>
      <c r="AP22" s="72"/>
      <c r="AQ22" s="72"/>
      <c r="AR22" s="72"/>
      <c r="AS22" s="72"/>
      <c r="AT22" s="72"/>
      <c r="AU22" s="72"/>
      <c r="AV22" s="72"/>
      <c r="AW22" s="72"/>
      <c r="AX22" s="72"/>
      <c r="AY22" s="72"/>
      <c r="AZ22" s="72"/>
      <c r="BA22" s="72"/>
      <c r="BB22" s="72"/>
      <c r="BC22" s="72"/>
      <c r="BD22" s="72"/>
      <c r="BE22" s="72"/>
      <c r="BF22" s="72"/>
      <c r="BG22" s="72"/>
      <c r="BH22" s="72"/>
      <c r="BI22" s="72"/>
      <c r="BJ22" s="72"/>
      <c r="BK22" s="72"/>
      <c r="BL22" s="72"/>
      <c r="BM22" s="72"/>
      <c r="BN22" s="72"/>
      <c r="BO22" s="72"/>
      <c r="BP22" s="72"/>
      <c r="BQ22" s="72"/>
      <c r="BR22" s="72"/>
      <c r="BS22" s="72"/>
      <c r="BT22" s="72"/>
    </row>
    <row r="23" spans="4:72" s="71" customFormat="1" ht="8.15" customHeight="1">
      <c r="D23" s="72"/>
      <c r="E23" s="72"/>
      <c r="F23" s="72"/>
      <c r="G23" s="72"/>
      <c r="H23" s="72"/>
      <c r="I23" s="72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2"/>
      <c r="Y23" s="72"/>
      <c r="Z23" s="72"/>
      <c r="AA23" s="72"/>
      <c r="AB23" s="72"/>
      <c r="AC23" s="72"/>
      <c r="AD23" s="72"/>
      <c r="AE23" s="214" t="s">
        <v>103</v>
      </c>
      <c r="AF23" s="215"/>
      <c r="AG23" s="215"/>
      <c r="AH23" s="215"/>
      <c r="AI23" s="215"/>
      <c r="AJ23" s="216"/>
      <c r="AK23" s="81"/>
      <c r="AL23" s="81"/>
      <c r="AM23" s="72"/>
      <c r="AN23" s="72"/>
      <c r="AO23" s="72"/>
      <c r="AP23" s="72"/>
      <c r="AQ23" s="72"/>
      <c r="AR23" s="72"/>
      <c r="AS23" s="72"/>
      <c r="AT23" s="72"/>
      <c r="AU23" s="72"/>
      <c r="AV23" s="72"/>
      <c r="AW23" s="72"/>
      <c r="AX23" s="72"/>
      <c r="AY23" s="72"/>
      <c r="AZ23" s="72"/>
      <c r="BA23" s="72"/>
      <c r="BB23" s="72"/>
      <c r="BC23" s="72"/>
      <c r="BD23" s="72"/>
      <c r="BE23" s="72"/>
      <c r="BF23" s="72"/>
      <c r="BG23" s="72"/>
      <c r="BH23" s="72"/>
      <c r="BI23" s="72"/>
      <c r="BJ23" s="72"/>
      <c r="BK23" s="72"/>
      <c r="BL23" s="72"/>
      <c r="BM23" s="72"/>
      <c r="BN23" s="72"/>
      <c r="BO23" s="72"/>
      <c r="BP23" s="72"/>
      <c r="BQ23" s="72"/>
      <c r="BR23" s="72"/>
      <c r="BS23" s="72"/>
      <c r="BT23" s="72"/>
    </row>
    <row r="24" spans="4:72" s="71" customFormat="1" ht="14.5" customHeight="1"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  <c r="AA24" s="72"/>
      <c r="AB24" s="72"/>
      <c r="AC24" s="72"/>
      <c r="AD24" s="72"/>
      <c r="AE24" s="72"/>
      <c r="AF24" s="72"/>
      <c r="AG24" s="72"/>
      <c r="AH24" s="72"/>
      <c r="AI24" s="72"/>
      <c r="AJ24" s="72"/>
      <c r="AK24" s="72"/>
      <c r="AL24" s="72"/>
      <c r="AM24" s="72"/>
      <c r="AN24" s="72"/>
      <c r="AO24" s="72"/>
      <c r="AP24" s="72"/>
      <c r="AQ24" s="72"/>
      <c r="AR24" s="72"/>
      <c r="AS24" s="72"/>
      <c r="AT24" s="72"/>
      <c r="AU24" s="72"/>
      <c r="AV24" s="72"/>
      <c r="AW24" s="72"/>
      <c r="AX24" s="72"/>
      <c r="AY24" s="72"/>
      <c r="AZ24" s="72"/>
      <c r="BA24" s="72"/>
      <c r="BB24" s="72"/>
      <c r="BC24" s="72"/>
      <c r="BD24" s="72"/>
      <c r="BE24" s="72"/>
      <c r="BF24" s="72"/>
      <c r="BG24" s="72"/>
      <c r="BH24" s="72"/>
      <c r="BI24" s="72"/>
      <c r="BJ24" s="72"/>
      <c r="BK24" s="72"/>
      <c r="BL24" s="72"/>
      <c r="BM24" s="72"/>
      <c r="BN24" s="72"/>
      <c r="BO24" s="72"/>
      <c r="BP24" s="72"/>
      <c r="BQ24" s="72"/>
      <c r="BR24" s="72"/>
      <c r="BS24" s="72"/>
      <c r="BT24" s="72"/>
    </row>
    <row r="25" spans="4:72" s="71" customFormat="1" ht="17.149999999999999" customHeight="1" thickBot="1">
      <c r="D25" s="72"/>
      <c r="E25" s="72"/>
      <c r="F25" s="72"/>
      <c r="G25" s="72"/>
      <c r="H25" s="72"/>
      <c r="I25" s="72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  <c r="AA25" s="72"/>
      <c r="AB25" s="72"/>
      <c r="AC25" s="72"/>
      <c r="AD25" s="72"/>
      <c r="AE25" s="72"/>
      <c r="AF25" s="72"/>
      <c r="AG25" s="72"/>
      <c r="AH25" s="72"/>
      <c r="AI25" s="72"/>
      <c r="AJ25" s="72"/>
      <c r="AK25" s="72"/>
      <c r="AL25" s="72"/>
      <c r="AM25" s="72"/>
      <c r="AN25" s="72"/>
      <c r="AO25" s="72"/>
      <c r="AP25" s="72"/>
      <c r="AQ25" s="72"/>
      <c r="AR25" s="72"/>
      <c r="AS25" s="72"/>
      <c r="AT25" s="72"/>
      <c r="AU25" s="72"/>
      <c r="AV25" s="72"/>
      <c r="AW25" s="72"/>
      <c r="AX25" s="72"/>
      <c r="AY25" s="72"/>
      <c r="AZ25" s="72"/>
      <c r="BA25" s="72"/>
      <c r="BB25" s="72"/>
      <c r="BC25" s="72"/>
      <c r="BD25" s="72"/>
      <c r="BE25" s="72"/>
      <c r="BF25" s="72"/>
      <c r="BG25" s="72"/>
      <c r="BH25" s="72"/>
      <c r="BI25" s="72"/>
      <c r="BJ25" s="72"/>
      <c r="BK25" s="72"/>
      <c r="BL25" s="72"/>
      <c r="BM25" s="72"/>
      <c r="BN25" s="72"/>
      <c r="BO25" s="72"/>
      <c r="BP25" s="72"/>
      <c r="BQ25" s="72"/>
      <c r="BR25" s="72"/>
      <c r="BS25" s="72"/>
      <c r="BT25" s="72"/>
    </row>
    <row r="26" spans="4:72" s="62" customFormat="1" ht="19.5" customHeight="1">
      <c r="D26" s="63"/>
      <c r="E26" s="63"/>
      <c r="F26" s="233" t="s">
        <v>86</v>
      </c>
      <c r="G26" s="233"/>
      <c r="H26" s="233"/>
      <c r="I26" s="233"/>
      <c r="J26" s="233"/>
      <c r="K26" s="233"/>
      <c r="L26" s="233"/>
      <c r="M26" s="202" t="s">
        <v>212</v>
      </c>
      <c r="N26" s="203"/>
      <c r="O26" s="203"/>
      <c r="P26" s="203"/>
      <c r="Q26" s="203"/>
      <c r="R26" s="203"/>
      <c r="S26" s="203"/>
      <c r="T26" s="203"/>
      <c r="U26" s="203"/>
      <c r="V26" s="203"/>
      <c r="W26" s="203"/>
      <c r="X26" s="203"/>
      <c r="Y26" s="203"/>
      <c r="Z26" s="203"/>
      <c r="AA26" s="203"/>
      <c r="AB26" s="203"/>
      <c r="AC26" s="203"/>
      <c r="AD26" s="83"/>
      <c r="AE26" s="63"/>
      <c r="AF26" s="84" t="s">
        <v>88</v>
      </c>
      <c r="AG26" s="84"/>
      <c r="AH26" s="63"/>
      <c r="AI26" s="63"/>
      <c r="AJ26" s="63"/>
      <c r="AK26" s="63"/>
      <c r="AL26" s="63"/>
      <c r="AM26" s="63"/>
      <c r="AN26" s="218">
        <v>8338</v>
      </c>
      <c r="AO26" s="219"/>
      <c r="AP26" s="219"/>
      <c r="AQ26" s="220"/>
      <c r="AR26" s="63"/>
      <c r="AS26" s="63"/>
      <c r="AT26" s="196" t="s">
        <v>6</v>
      </c>
      <c r="AU26" s="196"/>
      <c r="AV26" s="196"/>
      <c r="AW26" s="196"/>
      <c r="AX26" s="196"/>
      <c r="AY26" s="196"/>
      <c r="AZ26" s="196"/>
      <c r="BA26" s="196"/>
      <c r="BB26" s="196"/>
      <c r="BC26" s="196"/>
      <c r="BD26" s="63"/>
      <c r="BE26" s="259">
        <v>31</v>
      </c>
      <c r="BF26" s="197"/>
      <c r="BG26" s="198"/>
      <c r="BH26" s="199" t="s">
        <v>104</v>
      </c>
      <c r="BI26" s="200"/>
      <c r="BJ26" s="200"/>
      <c r="BK26" s="200"/>
      <c r="BL26" s="200"/>
      <c r="BM26" s="200"/>
      <c r="BN26" s="197">
        <v>45</v>
      </c>
      <c r="BO26" s="197"/>
      <c r="BP26" s="198"/>
      <c r="BQ26" s="63"/>
      <c r="BR26" s="63"/>
      <c r="BS26" s="63"/>
      <c r="BT26" s="63"/>
    </row>
    <row r="27" spans="4:72" s="71" customFormat="1" ht="5.15" customHeight="1">
      <c r="D27" s="72"/>
      <c r="E27" s="72"/>
      <c r="F27" s="72"/>
      <c r="G27" s="72"/>
      <c r="H27" s="72"/>
      <c r="I27" s="72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  <c r="AA27" s="72"/>
      <c r="AB27" s="72"/>
      <c r="AC27" s="72"/>
      <c r="AD27" s="72"/>
      <c r="AE27" s="72"/>
      <c r="AF27" s="72"/>
      <c r="AG27" s="72"/>
      <c r="AH27" s="72"/>
      <c r="AI27" s="72"/>
      <c r="AJ27" s="72"/>
      <c r="AK27" s="72"/>
      <c r="AL27" s="72"/>
      <c r="AM27" s="72"/>
      <c r="AN27" s="72"/>
      <c r="AO27" s="72"/>
      <c r="AP27" s="72"/>
      <c r="AQ27" s="72"/>
      <c r="AR27" s="72"/>
      <c r="AS27" s="72"/>
      <c r="AT27" s="72"/>
      <c r="AU27" s="72"/>
      <c r="AV27" s="72"/>
      <c r="AW27" s="72"/>
      <c r="AX27" s="72"/>
      <c r="AY27" s="72"/>
      <c r="AZ27" s="72"/>
      <c r="BA27" s="72"/>
      <c r="BB27" s="72"/>
      <c r="BC27" s="72"/>
      <c r="BD27" s="72"/>
      <c r="BE27" s="72"/>
      <c r="BF27" s="72"/>
      <c r="BG27" s="72"/>
      <c r="BH27" s="72"/>
      <c r="BI27" s="72"/>
      <c r="BJ27" s="72"/>
      <c r="BK27" s="72"/>
      <c r="BL27" s="72"/>
      <c r="BM27" s="72"/>
      <c r="BN27" s="72"/>
      <c r="BO27" s="72"/>
      <c r="BP27" s="72"/>
      <c r="BQ27" s="72"/>
      <c r="BR27" s="72"/>
      <c r="BS27" s="72"/>
      <c r="BT27" s="72"/>
    </row>
    <row r="28" spans="4:72" s="71" customFormat="1" ht="4.5" customHeight="1">
      <c r="D28" s="72"/>
      <c r="E28" s="72"/>
      <c r="F28" s="232" t="s">
        <v>87</v>
      </c>
      <c r="G28" s="232"/>
      <c r="H28" s="232"/>
      <c r="I28" s="232"/>
      <c r="J28" s="232"/>
      <c r="K28" s="232"/>
      <c r="L28" s="85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  <c r="AA28" s="72"/>
      <c r="AB28" s="72"/>
      <c r="AC28" s="72"/>
      <c r="AD28" s="72"/>
      <c r="AE28" s="72"/>
      <c r="AF28" s="72"/>
      <c r="AG28" s="72"/>
      <c r="AH28" s="72"/>
      <c r="AI28" s="72"/>
      <c r="AJ28" s="72"/>
      <c r="AK28" s="72"/>
      <c r="AL28" s="72"/>
      <c r="AM28" s="72"/>
      <c r="AN28" s="72"/>
      <c r="AO28" s="72"/>
      <c r="AP28" s="72"/>
      <c r="AQ28" s="72"/>
      <c r="AR28" s="72"/>
      <c r="AS28" s="72"/>
      <c r="AT28" s="72"/>
      <c r="AU28" s="72"/>
      <c r="AV28" s="72"/>
      <c r="AW28" s="72"/>
      <c r="AX28" s="72"/>
      <c r="AY28" s="72"/>
      <c r="AZ28" s="72"/>
      <c r="BA28" s="72"/>
      <c r="BB28" s="72"/>
      <c r="BC28" s="72"/>
      <c r="BD28" s="72"/>
      <c r="BE28" s="72"/>
      <c r="BF28" s="72"/>
      <c r="BG28" s="72"/>
      <c r="BH28" s="72"/>
      <c r="BI28" s="72"/>
      <c r="BJ28" s="72"/>
      <c r="BK28" s="72"/>
      <c r="BL28" s="72"/>
      <c r="BM28" s="72"/>
      <c r="BN28" s="72"/>
      <c r="BO28" s="72"/>
      <c r="BP28" s="72"/>
      <c r="BQ28" s="72"/>
      <c r="BR28" s="72"/>
      <c r="BS28" s="72"/>
      <c r="BT28" s="72"/>
    </row>
    <row r="29" spans="4:72" s="71" customFormat="1" ht="17.5" customHeight="1">
      <c r="D29" s="72"/>
      <c r="E29" s="72"/>
      <c r="F29" s="232"/>
      <c r="G29" s="232"/>
      <c r="H29" s="232"/>
      <c r="I29" s="232"/>
      <c r="J29" s="232"/>
      <c r="K29" s="232"/>
      <c r="L29" s="85"/>
      <c r="M29" s="193" t="s">
        <v>260</v>
      </c>
      <c r="N29" s="194"/>
      <c r="O29" s="194"/>
      <c r="P29" s="194"/>
      <c r="Q29" s="194"/>
      <c r="R29" s="194"/>
      <c r="S29" s="194"/>
      <c r="T29" s="194"/>
      <c r="U29" s="194"/>
      <c r="V29" s="194"/>
      <c r="W29" s="194"/>
      <c r="X29" s="194"/>
      <c r="Y29" s="194"/>
      <c r="Z29" s="194"/>
      <c r="AA29" s="194"/>
      <c r="AB29" s="194"/>
      <c r="AC29" s="194"/>
      <c r="AD29" s="195"/>
      <c r="AE29" s="72"/>
      <c r="AF29" s="221" t="s">
        <v>89</v>
      </c>
      <c r="AG29" s="221"/>
      <c r="AH29" s="221"/>
      <c r="AI29" s="221"/>
      <c r="AJ29" s="221"/>
      <c r="AK29" s="221"/>
      <c r="AL29" s="221"/>
      <c r="AM29" s="221"/>
      <c r="AN29" s="221"/>
      <c r="AO29" s="253">
        <v>10</v>
      </c>
      <c r="AP29" s="254"/>
      <c r="AQ29" s="255"/>
      <c r="AR29" s="72"/>
      <c r="AS29" s="72"/>
      <c r="AT29" s="201" t="s">
        <v>92</v>
      </c>
      <c r="AU29" s="201"/>
      <c r="AV29" s="201"/>
      <c r="AW29" s="201"/>
      <c r="AX29" s="201"/>
      <c r="AY29" s="201"/>
      <c r="AZ29" s="201"/>
      <c r="BA29" s="201"/>
      <c r="BB29" s="201"/>
      <c r="BC29" s="201"/>
      <c r="BD29" s="201"/>
      <c r="BE29" s="201"/>
      <c r="BF29" s="72"/>
      <c r="BG29" s="202" t="s">
        <v>182</v>
      </c>
      <c r="BH29" s="203"/>
      <c r="BI29" s="203"/>
      <c r="BJ29" s="203"/>
      <c r="BK29" s="203"/>
      <c r="BL29" s="203"/>
      <c r="BM29" s="203"/>
      <c r="BN29" s="203"/>
      <c r="BO29" s="203"/>
      <c r="BP29" s="204"/>
      <c r="BQ29" s="72"/>
      <c r="BR29" s="72"/>
      <c r="BS29" s="72"/>
      <c r="BT29" s="72"/>
    </row>
    <row r="30" spans="4:72" s="71" customFormat="1" ht="5.5" customHeight="1">
      <c r="D30" s="72"/>
      <c r="E30" s="72"/>
      <c r="F30" s="232"/>
      <c r="G30" s="232"/>
      <c r="H30" s="232"/>
      <c r="I30" s="232"/>
      <c r="J30" s="232"/>
      <c r="K30" s="232"/>
      <c r="L30" s="85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  <c r="AA30" s="72"/>
      <c r="AB30" s="72"/>
      <c r="AC30" s="72"/>
      <c r="AD30" s="72"/>
      <c r="AE30" s="72"/>
      <c r="AF30" s="86"/>
      <c r="AG30" s="86"/>
      <c r="AH30" s="86"/>
      <c r="AI30" s="86"/>
      <c r="AJ30" s="86"/>
      <c r="AK30" s="86"/>
      <c r="AL30" s="86"/>
      <c r="AM30" s="86"/>
      <c r="AN30" s="86"/>
      <c r="AO30" s="72"/>
      <c r="AP30" s="72"/>
      <c r="AQ30" s="72"/>
      <c r="AR30" s="72"/>
      <c r="AS30" s="72"/>
      <c r="AT30" s="72"/>
      <c r="AU30" s="72"/>
      <c r="AV30" s="72"/>
      <c r="AW30" s="72"/>
      <c r="AX30" s="72"/>
      <c r="AY30" s="72"/>
      <c r="AZ30" s="72"/>
      <c r="BA30" s="72"/>
      <c r="BB30" s="72"/>
      <c r="BC30" s="72"/>
      <c r="BD30" s="72"/>
      <c r="BE30" s="72"/>
      <c r="BF30" s="72"/>
      <c r="BG30" s="72"/>
      <c r="BH30" s="72"/>
      <c r="BI30" s="72"/>
      <c r="BJ30" s="72"/>
      <c r="BK30" s="72"/>
      <c r="BL30" s="72"/>
      <c r="BM30" s="72"/>
      <c r="BN30" s="72"/>
      <c r="BO30" s="72"/>
      <c r="BP30" s="72"/>
      <c r="BQ30" s="72"/>
      <c r="BR30" s="72"/>
      <c r="BS30" s="72"/>
      <c r="BT30" s="72"/>
    </row>
    <row r="31" spans="4:72" s="71" customFormat="1" ht="5.15" customHeight="1" thickBot="1">
      <c r="D31" s="72"/>
      <c r="E31" s="72"/>
      <c r="F31" s="72"/>
      <c r="G31" s="72"/>
      <c r="H31" s="72"/>
      <c r="I31" s="72"/>
      <c r="J31" s="72"/>
      <c r="K31" s="72"/>
      <c r="L31" s="72"/>
      <c r="M31" s="72"/>
      <c r="N31" s="72"/>
      <c r="O31" s="72"/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72"/>
      <c r="AA31" s="72"/>
      <c r="AB31" s="72"/>
      <c r="AC31" s="72"/>
      <c r="AD31" s="72"/>
      <c r="AE31" s="72"/>
      <c r="AF31" s="87"/>
      <c r="AG31" s="251" t="s">
        <v>90</v>
      </c>
      <c r="AH31" s="251"/>
      <c r="AI31" s="251"/>
      <c r="AJ31" s="251"/>
      <c r="AK31" s="251"/>
      <c r="AL31" s="251"/>
      <c r="AM31" s="251"/>
      <c r="AN31" s="251"/>
      <c r="AO31" s="72"/>
      <c r="AP31" s="72"/>
      <c r="AQ31" s="72"/>
      <c r="AR31" s="72"/>
      <c r="AS31" s="72"/>
      <c r="AT31" s="72"/>
      <c r="AU31" s="72"/>
      <c r="AV31" s="72"/>
      <c r="AW31" s="72"/>
      <c r="AX31" s="72"/>
      <c r="AY31" s="72"/>
      <c r="AZ31" s="72"/>
      <c r="BA31" s="72"/>
      <c r="BB31" s="72"/>
      <c r="BC31" s="72"/>
      <c r="BD31" s="72"/>
      <c r="BE31" s="72"/>
      <c r="BF31" s="72"/>
      <c r="BG31" s="72"/>
      <c r="BH31" s="72"/>
      <c r="BI31" s="72"/>
      <c r="BJ31" s="72"/>
      <c r="BK31" s="72"/>
      <c r="BL31" s="72"/>
      <c r="BM31" s="72"/>
      <c r="BN31" s="72"/>
      <c r="BO31" s="72"/>
      <c r="BP31" s="72"/>
      <c r="BQ31" s="72"/>
      <c r="BR31" s="72"/>
      <c r="BS31" s="72"/>
      <c r="BT31" s="72"/>
    </row>
    <row r="32" spans="4:72" s="71" customFormat="1" ht="17.5" customHeight="1">
      <c r="D32" s="72"/>
      <c r="E32" s="72"/>
      <c r="F32" s="233" t="s">
        <v>10</v>
      </c>
      <c r="G32" s="233"/>
      <c r="H32" s="233"/>
      <c r="I32" s="233"/>
      <c r="J32" s="233"/>
      <c r="K32" s="233"/>
      <c r="L32" s="82"/>
      <c r="M32" s="229"/>
      <c r="N32" s="229"/>
      <c r="O32" s="229"/>
      <c r="P32" s="229"/>
      <c r="Q32" s="229"/>
      <c r="R32" s="229"/>
      <c r="S32" s="229"/>
      <c r="T32" s="229"/>
      <c r="U32" s="229"/>
      <c r="V32" s="229"/>
      <c r="W32" s="229"/>
      <c r="X32" s="229"/>
      <c r="Y32" s="229"/>
      <c r="Z32" s="229"/>
      <c r="AA32" s="229"/>
      <c r="AB32" s="229"/>
      <c r="AC32" s="229"/>
      <c r="AD32" s="88"/>
      <c r="AE32" s="72"/>
      <c r="AF32" s="87"/>
      <c r="AG32" s="251"/>
      <c r="AH32" s="251"/>
      <c r="AI32" s="251"/>
      <c r="AJ32" s="251"/>
      <c r="AK32" s="251"/>
      <c r="AL32" s="251"/>
      <c r="AM32" s="251"/>
      <c r="AN32" s="251"/>
      <c r="AO32" s="256">
        <v>1</v>
      </c>
      <c r="AP32" s="257"/>
      <c r="AQ32" s="258"/>
      <c r="AR32" s="72"/>
      <c r="AS32" s="72"/>
      <c r="AT32" s="201" t="s">
        <v>93</v>
      </c>
      <c r="AU32" s="201"/>
      <c r="AV32" s="201"/>
      <c r="AW32" s="201"/>
      <c r="AX32" s="201"/>
      <c r="AY32" s="201"/>
      <c r="AZ32" s="235"/>
      <c r="BA32" s="236"/>
      <c r="BB32" s="236"/>
      <c r="BC32" s="236"/>
      <c r="BD32" s="236"/>
      <c r="BE32" s="236"/>
      <c r="BF32" s="236"/>
      <c r="BG32" s="236"/>
      <c r="BH32" s="236"/>
      <c r="BI32" s="236"/>
      <c r="BJ32" s="236"/>
      <c r="BK32" s="236"/>
      <c r="BL32" s="236"/>
      <c r="BM32" s="236"/>
      <c r="BN32" s="236"/>
      <c r="BO32" s="236"/>
      <c r="BP32" s="237"/>
      <c r="BQ32" s="72"/>
      <c r="BR32" s="72"/>
      <c r="BS32" s="72"/>
      <c r="BT32" s="72"/>
    </row>
    <row r="33" spans="4:72" s="71" customFormat="1" ht="5.15" customHeight="1" thickBot="1">
      <c r="D33" s="72"/>
      <c r="E33" s="72"/>
      <c r="F33" s="72"/>
      <c r="G33" s="72"/>
      <c r="H33" s="72"/>
      <c r="I33" s="72"/>
      <c r="J33" s="72"/>
      <c r="K33" s="72"/>
      <c r="L33" s="72"/>
      <c r="M33" s="72"/>
      <c r="N33" s="72"/>
      <c r="O33" s="72"/>
      <c r="P33" s="72"/>
      <c r="Q33" s="72"/>
      <c r="R33" s="72"/>
      <c r="S33" s="72"/>
      <c r="T33" s="72"/>
      <c r="U33" s="72"/>
      <c r="V33" s="72"/>
      <c r="W33" s="72"/>
      <c r="X33" s="72"/>
      <c r="Y33" s="72"/>
      <c r="Z33" s="72"/>
      <c r="AA33" s="72"/>
      <c r="AB33" s="72"/>
      <c r="AC33" s="72"/>
      <c r="AD33" s="72"/>
      <c r="AE33" s="72"/>
      <c r="AF33" s="87"/>
      <c r="AG33" s="251"/>
      <c r="AH33" s="251"/>
      <c r="AI33" s="251"/>
      <c r="AJ33" s="251"/>
      <c r="AK33" s="251"/>
      <c r="AL33" s="251"/>
      <c r="AM33" s="251"/>
      <c r="AN33" s="251"/>
      <c r="AO33" s="72"/>
      <c r="AP33" s="72"/>
      <c r="AQ33" s="72"/>
      <c r="AR33" s="72"/>
      <c r="AS33" s="72"/>
      <c r="AT33" s="72"/>
      <c r="AU33" s="72"/>
      <c r="AV33" s="72"/>
      <c r="AW33" s="72"/>
      <c r="AX33" s="72"/>
      <c r="AY33" s="72"/>
      <c r="AZ33" s="72"/>
      <c r="BA33" s="72"/>
      <c r="BB33" s="72"/>
      <c r="BC33" s="72"/>
      <c r="BD33" s="72"/>
      <c r="BE33" s="72"/>
      <c r="BF33" s="72"/>
      <c r="BG33" s="72"/>
      <c r="BH33" s="72"/>
      <c r="BI33" s="72"/>
      <c r="BJ33" s="72"/>
      <c r="BK33" s="72"/>
      <c r="BL33" s="72"/>
      <c r="BM33" s="72"/>
      <c r="BN33" s="72"/>
      <c r="BO33" s="72"/>
      <c r="BP33" s="72"/>
      <c r="BQ33" s="72"/>
      <c r="BR33" s="72"/>
      <c r="BS33" s="72"/>
      <c r="BT33" s="72"/>
    </row>
    <row r="34" spans="4:72" s="71" customFormat="1" ht="17.5" customHeight="1">
      <c r="D34" s="72"/>
      <c r="E34" s="72"/>
      <c r="F34" s="233" t="s">
        <v>7</v>
      </c>
      <c r="G34" s="233"/>
      <c r="H34" s="233"/>
      <c r="I34" s="233"/>
      <c r="J34" s="233"/>
      <c r="K34" s="233"/>
      <c r="L34" s="82"/>
      <c r="M34" s="202" t="s">
        <v>413</v>
      </c>
      <c r="N34" s="203"/>
      <c r="O34" s="203"/>
      <c r="P34" s="203"/>
      <c r="Q34" s="203"/>
      <c r="R34" s="203"/>
      <c r="S34" s="203"/>
      <c r="T34" s="203"/>
      <c r="U34" s="203"/>
      <c r="V34" s="203"/>
      <c r="W34" s="203"/>
      <c r="X34" s="203"/>
      <c r="Y34" s="203"/>
      <c r="Z34" s="203"/>
      <c r="AA34" s="203"/>
      <c r="AB34" s="203"/>
      <c r="AC34" s="203"/>
      <c r="AD34" s="89"/>
      <c r="AE34" s="72"/>
      <c r="AF34" s="72"/>
      <c r="AG34" s="201" t="s">
        <v>91</v>
      </c>
      <c r="AH34" s="201"/>
      <c r="AI34" s="201"/>
      <c r="AJ34" s="201"/>
      <c r="AK34" s="201"/>
      <c r="AL34" s="201"/>
      <c r="AM34" s="201"/>
      <c r="AN34" s="72"/>
      <c r="AO34" s="248">
        <v>6</v>
      </c>
      <c r="AP34" s="249"/>
      <c r="AQ34" s="250"/>
      <c r="AR34" s="72"/>
      <c r="AS34" s="72"/>
      <c r="AT34" s="201" t="s">
        <v>109</v>
      </c>
      <c r="AU34" s="201"/>
      <c r="AV34" s="201"/>
      <c r="AW34" s="201"/>
      <c r="AX34" s="201"/>
      <c r="AY34" s="72"/>
      <c r="AZ34" s="246"/>
      <c r="BA34" s="246"/>
      <c r="BB34" s="246"/>
      <c r="BC34" s="246"/>
      <c r="BD34" s="246"/>
      <c r="BE34" s="246"/>
      <c r="BF34" s="246"/>
      <c r="BG34" s="246"/>
      <c r="BH34" s="246"/>
      <c r="BI34" s="246"/>
      <c r="BJ34" s="246"/>
      <c r="BK34" s="246"/>
      <c r="BL34" s="246"/>
      <c r="BM34" s="246"/>
      <c r="BN34" s="246"/>
      <c r="BO34" s="246"/>
      <c r="BP34" s="247"/>
      <c r="BQ34" s="72"/>
      <c r="BR34" s="72"/>
      <c r="BS34" s="72"/>
      <c r="BT34" s="72"/>
    </row>
    <row r="35" spans="4:72" s="71" customFormat="1" ht="5.15" customHeight="1"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72"/>
      <c r="AB35" s="72"/>
      <c r="AC35" s="72"/>
      <c r="AD35" s="72"/>
      <c r="AE35" s="72"/>
      <c r="AF35" s="72"/>
      <c r="AG35" s="72"/>
      <c r="AH35" s="72"/>
      <c r="AI35" s="72"/>
      <c r="AJ35" s="72"/>
      <c r="AK35" s="72"/>
      <c r="AL35" s="72"/>
      <c r="AM35" s="72"/>
      <c r="AN35" s="72"/>
      <c r="AO35" s="72"/>
      <c r="AP35" s="72"/>
      <c r="AQ35" s="72"/>
      <c r="AR35" s="72"/>
      <c r="AS35" s="72"/>
      <c r="AT35" s="72"/>
      <c r="AU35" s="72"/>
      <c r="AV35" s="72"/>
      <c r="AW35" s="72"/>
      <c r="AX35" s="72"/>
      <c r="AY35" s="72"/>
      <c r="AZ35" s="72"/>
      <c r="BA35" s="72"/>
      <c r="BB35" s="72"/>
      <c r="BC35" s="72"/>
      <c r="BD35" s="72"/>
      <c r="BE35" s="72"/>
      <c r="BF35" s="72"/>
      <c r="BG35" s="72"/>
      <c r="BH35" s="72"/>
      <c r="BI35" s="72"/>
      <c r="BJ35" s="72"/>
      <c r="BK35" s="72"/>
      <c r="BL35" s="72"/>
      <c r="BM35" s="72"/>
      <c r="BN35" s="72"/>
      <c r="BO35" s="72"/>
      <c r="BP35" s="72"/>
      <c r="BQ35" s="72"/>
      <c r="BR35" s="72"/>
      <c r="BS35" s="72"/>
      <c r="BT35" s="72"/>
    </row>
    <row r="36" spans="4:72" s="71" customFormat="1" thickBot="1"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  <c r="AA36" s="72"/>
      <c r="AB36" s="72"/>
      <c r="AC36" s="72"/>
      <c r="AD36" s="72"/>
      <c r="AE36" s="72"/>
      <c r="AF36" s="72"/>
      <c r="AG36" s="72"/>
      <c r="AH36" s="72"/>
      <c r="AI36" s="72"/>
      <c r="AJ36" s="72"/>
      <c r="AK36" s="72"/>
      <c r="AL36" s="72"/>
      <c r="AM36" s="72"/>
      <c r="AN36" s="72"/>
      <c r="AO36" s="72"/>
      <c r="AP36" s="72"/>
      <c r="AQ36" s="72"/>
      <c r="AR36" s="72"/>
      <c r="AS36" s="72"/>
      <c r="AT36" s="72"/>
      <c r="AU36" s="72"/>
      <c r="AV36" s="72"/>
      <c r="AW36" s="72"/>
      <c r="AX36" s="72"/>
      <c r="AY36" s="72"/>
      <c r="AZ36" s="72"/>
      <c r="BA36" s="72"/>
      <c r="BB36" s="72"/>
      <c r="BC36" s="72"/>
      <c r="BD36" s="72"/>
      <c r="BE36" s="72"/>
      <c r="BF36" s="72"/>
      <c r="BG36" s="72"/>
      <c r="BH36" s="72"/>
      <c r="BI36" s="72"/>
      <c r="BJ36" s="72"/>
      <c r="BK36" s="72"/>
      <c r="BL36" s="72"/>
      <c r="BM36" s="72"/>
      <c r="BN36" s="72"/>
      <c r="BO36" s="72"/>
      <c r="BP36" s="72"/>
      <c r="BQ36" s="72"/>
      <c r="BR36" s="72"/>
      <c r="BS36" s="72"/>
      <c r="BT36" s="72"/>
    </row>
    <row r="37" spans="4:72" s="71" customFormat="1" ht="14.5" customHeight="1" thickBot="1">
      <c r="D37" s="72"/>
      <c r="E37" s="225" t="s">
        <v>97</v>
      </c>
      <c r="F37" s="225"/>
      <c r="G37" s="225"/>
      <c r="H37" s="225"/>
      <c r="I37" s="225"/>
      <c r="J37" s="225" t="s">
        <v>96</v>
      </c>
      <c r="K37" s="225"/>
      <c r="L37" s="225"/>
      <c r="M37" s="225"/>
      <c r="N37" s="225"/>
      <c r="O37" s="225"/>
      <c r="P37" s="225"/>
      <c r="Q37" s="225" t="s">
        <v>95</v>
      </c>
      <c r="R37" s="225"/>
      <c r="S37" s="225"/>
      <c r="T37" s="225"/>
      <c r="U37" s="225"/>
      <c r="V37" s="225"/>
      <c r="W37" s="225"/>
      <c r="X37" s="225"/>
      <c r="Y37" s="225"/>
      <c r="Z37" s="225"/>
      <c r="AA37" s="225"/>
      <c r="AB37" s="225"/>
      <c r="AC37" s="225"/>
      <c r="AD37" s="225"/>
      <c r="AE37" s="225"/>
      <c r="AF37" s="225"/>
      <c r="AG37" s="225"/>
      <c r="AH37" s="225"/>
      <c r="AI37" s="225"/>
      <c r="AJ37" s="225"/>
      <c r="AK37" s="225"/>
      <c r="AL37" s="225"/>
      <c r="AM37" s="225"/>
      <c r="AN37" s="225"/>
      <c r="AO37" s="225"/>
      <c r="AP37" s="225"/>
      <c r="AQ37" s="225"/>
      <c r="AR37" s="225"/>
      <c r="AS37" s="225"/>
      <c r="AT37" s="225"/>
      <c r="AU37" s="225"/>
      <c r="AV37" s="225"/>
      <c r="AW37" s="225"/>
      <c r="AX37" s="225"/>
      <c r="AY37" s="225"/>
      <c r="AZ37" s="225"/>
      <c r="BA37" s="225"/>
      <c r="BB37" s="225"/>
      <c r="BC37" s="225"/>
      <c r="BD37" s="225"/>
      <c r="BE37" s="225"/>
      <c r="BF37" s="225"/>
      <c r="BG37" s="225"/>
      <c r="BH37" s="225"/>
      <c r="BI37" s="225"/>
      <c r="BJ37" s="225"/>
      <c r="BK37" s="225"/>
      <c r="BL37" s="225"/>
      <c r="BM37" s="225"/>
      <c r="BN37" s="225"/>
      <c r="BO37" s="241" t="s">
        <v>94</v>
      </c>
      <c r="BP37" s="242"/>
      <c r="BQ37" s="243"/>
      <c r="BR37" s="72"/>
      <c r="BS37" s="72"/>
      <c r="BT37" s="72"/>
    </row>
    <row r="38" spans="4:72" s="71" customFormat="1" ht="15" customHeight="1" thickBot="1">
      <c r="D38" s="72"/>
      <c r="E38" s="226">
        <f ca="1">TODAY()</f>
        <v>46290</v>
      </c>
      <c r="F38" s="226"/>
      <c r="G38" s="226"/>
      <c r="H38" s="226"/>
      <c r="I38" s="226"/>
      <c r="J38" s="227">
        <f ca="1">NOW()-1</f>
        <v>46289.897231365743</v>
      </c>
      <c r="K38" s="227"/>
      <c r="L38" s="227"/>
      <c r="M38" s="227"/>
      <c r="N38" s="227"/>
      <c r="O38" s="227"/>
      <c r="P38" s="227"/>
      <c r="Q38" s="228" t="s">
        <v>99</v>
      </c>
      <c r="R38" s="228"/>
      <c r="S38" s="228"/>
      <c r="T38" s="228"/>
      <c r="U38" s="228"/>
      <c r="V38" s="228"/>
      <c r="W38" s="228"/>
      <c r="X38" s="228"/>
      <c r="Y38" s="228"/>
      <c r="Z38" s="228"/>
      <c r="AA38" s="228"/>
      <c r="AB38" s="228"/>
      <c r="AC38" s="228"/>
      <c r="AD38" s="228"/>
      <c r="AE38" s="228"/>
      <c r="AF38" s="228"/>
      <c r="AG38" s="228"/>
      <c r="AH38" s="228"/>
      <c r="AI38" s="228"/>
      <c r="AJ38" s="228"/>
      <c r="AK38" s="228"/>
      <c r="AL38" s="228"/>
      <c r="AM38" s="228"/>
      <c r="AN38" s="228"/>
      <c r="AO38" s="228"/>
      <c r="AP38" s="228"/>
      <c r="AQ38" s="228"/>
      <c r="AR38" s="228"/>
      <c r="AS38" s="228"/>
      <c r="AT38" s="228"/>
      <c r="AU38" s="228"/>
      <c r="AV38" s="228"/>
      <c r="AW38" s="228"/>
      <c r="AX38" s="228"/>
      <c r="AY38" s="228"/>
      <c r="AZ38" s="228"/>
      <c r="BA38" s="228"/>
      <c r="BB38" s="228"/>
      <c r="BC38" s="228"/>
      <c r="BD38" s="228"/>
      <c r="BE38" s="228"/>
      <c r="BF38" s="228"/>
      <c r="BG38" s="228"/>
      <c r="BH38" s="228"/>
      <c r="BI38" s="228"/>
      <c r="BJ38" s="228"/>
      <c r="BK38" s="228"/>
      <c r="BL38" s="228"/>
      <c r="BM38" s="228"/>
      <c r="BN38" s="228"/>
      <c r="BO38" s="238" t="s">
        <v>98</v>
      </c>
      <c r="BP38" s="239"/>
      <c r="BQ38" s="240"/>
      <c r="BR38" s="72"/>
      <c r="BS38" s="72"/>
      <c r="BT38" s="72"/>
    </row>
    <row r="39" spans="4:72" s="71" customFormat="1" ht="14.5" customHeight="1" thickBot="1">
      <c r="D39" s="72"/>
      <c r="E39" s="226">
        <f ca="1">TODAY()</f>
        <v>46290</v>
      </c>
      <c r="F39" s="226"/>
      <c r="G39" s="226"/>
      <c r="H39" s="226"/>
      <c r="I39" s="226"/>
      <c r="J39" s="227">
        <f ca="1">NOW()-2.5</f>
        <v>46288.397231365743</v>
      </c>
      <c r="K39" s="227"/>
      <c r="L39" s="227"/>
      <c r="M39" s="227"/>
      <c r="N39" s="227"/>
      <c r="O39" s="227"/>
      <c r="P39" s="227"/>
      <c r="Q39" s="228" t="s">
        <v>186</v>
      </c>
      <c r="R39" s="228"/>
      <c r="S39" s="228"/>
      <c r="T39" s="228"/>
      <c r="U39" s="228"/>
      <c r="V39" s="228"/>
      <c r="W39" s="228"/>
      <c r="X39" s="228"/>
      <c r="Y39" s="228"/>
      <c r="Z39" s="228"/>
      <c r="AA39" s="228"/>
      <c r="AB39" s="228"/>
      <c r="AC39" s="228"/>
      <c r="AD39" s="228"/>
      <c r="AE39" s="228"/>
      <c r="AF39" s="228"/>
      <c r="AG39" s="228"/>
      <c r="AH39" s="228"/>
      <c r="AI39" s="228"/>
      <c r="AJ39" s="228"/>
      <c r="AK39" s="228"/>
      <c r="AL39" s="228"/>
      <c r="AM39" s="228"/>
      <c r="AN39" s="228"/>
      <c r="AO39" s="228"/>
      <c r="AP39" s="228"/>
      <c r="AQ39" s="228"/>
      <c r="AR39" s="228"/>
      <c r="AS39" s="228"/>
      <c r="AT39" s="228"/>
      <c r="AU39" s="228"/>
      <c r="AV39" s="228"/>
      <c r="AW39" s="228"/>
      <c r="AX39" s="228"/>
      <c r="AY39" s="228"/>
      <c r="AZ39" s="228"/>
      <c r="BA39" s="228"/>
      <c r="BB39" s="228"/>
      <c r="BC39" s="228"/>
      <c r="BD39" s="228"/>
      <c r="BE39" s="228"/>
      <c r="BF39" s="228"/>
      <c r="BG39" s="228"/>
      <c r="BH39" s="228"/>
      <c r="BI39" s="228"/>
      <c r="BJ39" s="228"/>
      <c r="BK39" s="228"/>
      <c r="BL39" s="228"/>
      <c r="BM39" s="228"/>
      <c r="BN39" s="228"/>
      <c r="BO39" s="238" t="s">
        <v>98</v>
      </c>
      <c r="BP39" s="239"/>
      <c r="BQ39" s="240"/>
      <c r="BR39" s="72"/>
      <c r="BS39" s="72"/>
      <c r="BT39" s="72"/>
    </row>
    <row r="40" spans="4:72" s="71" customFormat="1" ht="46.5" customHeight="1">
      <c r="D40" s="72"/>
      <c r="E40" s="72"/>
      <c r="F40" s="72"/>
      <c r="G40" s="72"/>
      <c r="H40" s="72"/>
      <c r="I40" s="72">
        <f>IF(AO29&lt;=1,1,(IF(AO29&lt;=2,2,(IF(AO29&lt;=3,3,(IF(AO29&lt;=4,4,(IF(AO29&lt;=5,5,(IF(AO29&lt;=6,6,(IF(AO29&lt;=7,7,(IF(AO29&lt;=8,8,(IF(AO29&lt;=9,9,10)))))))))))))))))</f>
        <v>10</v>
      </c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  <c r="AA40" s="90"/>
      <c r="AB40" s="72"/>
      <c r="AC40" s="72"/>
      <c r="AD40" s="72"/>
      <c r="AE40" s="72"/>
      <c r="AF40" s="72"/>
      <c r="AG40" s="72"/>
      <c r="AH40" s="72"/>
      <c r="AI40" s="72"/>
      <c r="AJ40" s="72"/>
      <c r="AK40" s="72"/>
      <c r="AL40" s="72"/>
      <c r="AM40" s="72"/>
      <c r="AN40" s="72"/>
      <c r="AO40" s="72"/>
      <c r="AP40" s="72"/>
      <c r="AQ40" s="72"/>
      <c r="AR40" s="72"/>
      <c r="AS40" s="72"/>
      <c r="AT40" s="72"/>
      <c r="AU40" s="72"/>
      <c r="AV40" s="72"/>
      <c r="AW40" s="72"/>
      <c r="AX40" s="72"/>
      <c r="AY40" s="72"/>
      <c r="AZ40" s="72"/>
      <c r="BA40" s="72"/>
      <c r="BB40" s="72"/>
      <c r="BC40" s="72"/>
      <c r="BD40" s="72"/>
      <c r="BE40" s="72"/>
      <c r="BF40" s="72"/>
      <c r="BG40" s="72"/>
      <c r="BH40" s="72"/>
      <c r="BI40" s="72"/>
      <c r="BJ40" s="72"/>
      <c r="BK40" s="72"/>
      <c r="BL40" s="72"/>
      <c r="BM40" s="72"/>
      <c r="BN40" s="72"/>
      <c r="BO40" s="72"/>
      <c r="BP40" s="72"/>
      <c r="BQ40" s="72"/>
      <c r="BR40" s="72"/>
      <c r="BS40" s="72"/>
      <c r="BT40" s="72"/>
    </row>
    <row r="41" spans="4:72" s="93" customFormat="1" ht="13.5" hidden="1" customHeight="1">
      <c r="D41" s="91"/>
      <c r="E41" s="91"/>
      <c r="F41" s="91"/>
      <c r="G41" s="91"/>
      <c r="H41" s="252"/>
      <c r="I41" s="252"/>
      <c r="J41" s="252"/>
      <c r="K41" s="252"/>
      <c r="L41" s="90"/>
      <c r="M41" s="90"/>
      <c r="N41" s="252"/>
      <c r="O41" s="252"/>
      <c r="P41" s="252"/>
      <c r="Q41" s="252"/>
      <c r="R41" s="90"/>
      <c r="S41" s="252"/>
      <c r="T41" s="252"/>
      <c r="U41" s="252"/>
      <c r="V41" s="252"/>
      <c r="W41" s="252"/>
      <c r="X41" s="252"/>
      <c r="Y41" s="90"/>
      <c r="Z41" s="252"/>
      <c r="AA41" s="252"/>
      <c r="AB41" s="252"/>
      <c r="AC41" s="252"/>
      <c r="AD41" s="90"/>
      <c r="AE41" s="90"/>
      <c r="AF41" s="252"/>
      <c r="AG41" s="252"/>
      <c r="AH41" s="252"/>
      <c r="AI41" s="252"/>
      <c r="AJ41" s="90"/>
      <c r="AK41" s="90"/>
      <c r="AL41" s="252"/>
      <c r="AM41" s="252"/>
      <c r="AN41" s="252"/>
      <c r="AO41" s="252"/>
      <c r="AP41" s="252"/>
      <c r="AQ41" s="90"/>
      <c r="AR41" s="252"/>
      <c r="AS41" s="252"/>
      <c r="AT41" s="252"/>
      <c r="AU41" s="252"/>
      <c r="AV41" s="252"/>
      <c r="AW41" s="90"/>
      <c r="AX41" s="252" t="str">
        <f>'888'!W12</f>
        <v>WRONG QTY</v>
      </c>
      <c r="AY41" s="252"/>
      <c r="AZ41" s="252"/>
      <c r="BA41" s="252"/>
      <c r="BB41" s="252"/>
      <c r="BC41" s="90"/>
      <c r="BD41" s="90"/>
      <c r="BE41" s="252" t="str">
        <f>'999'!W12</f>
        <v>WRONG QTY</v>
      </c>
      <c r="BF41" s="252"/>
      <c r="BG41" s="252"/>
      <c r="BH41" s="252"/>
      <c r="BI41" s="90"/>
      <c r="BJ41" s="90"/>
      <c r="BK41" s="91"/>
      <c r="BL41" s="91"/>
      <c r="BM41" s="91"/>
      <c r="BN41" s="91"/>
      <c r="BO41" s="91"/>
      <c r="BP41" s="91"/>
      <c r="BQ41" s="91"/>
      <c r="BR41" s="91"/>
      <c r="BS41" s="91"/>
      <c r="BT41" s="91"/>
    </row>
    <row r="42" spans="4:72" s="93" customFormat="1" ht="33" hidden="1" customHeight="1">
      <c r="D42" s="94"/>
      <c r="E42" s="94"/>
      <c r="F42" s="94"/>
      <c r="G42" s="94"/>
      <c r="H42" s="95"/>
      <c r="I42" s="95"/>
      <c r="J42" s="96"/>
      <c r="K42" s="96"/>
      <c r="L42" s="96"/>
      <c r="M42" s="96"/>
      <c r="N42" s="95"/>
      <c r="O42" s="95"/>
      <c r="P42" s="96"/>
      <c r="Q42" s="96"/>
      <c r="R42" s="96"/>
      <c r="S42" s="95"/>
      <c r="T42" s="95"/>
      <c r="U42" s="95"/>
      <c r="V42" s="96"/>
      <c r="W42" s="96"/>
      <c r="X42" s="96"/>
      <c r="Y42" s="96"/>
      <c r="Z42" s="95"/>
      <c r="AA42" s="95"/>
      <c r="AB42" s="96"/>
      <c r="AC42" s="96"/>
      <c r="AD42" s="96"/>
      <c r="AE42" s="96"/>
      <c r="AF42" s="95"/>
      <c r="AG42" s="95"/>
      <c r="AH42" s="95"/>
      <c r="AI42" s="96"/>
      <c r="AJ42" s="96"/>
      <c r="AK42" s="96"/>
      <c r="AL42" s="95"/>
      <c r="AM42" s="95"/>
      <c r="AN42" s="95"/>
      <c r="AO42" s="95"/>
      <c r="AP42" s="96"/>
      <c r="AQ42" s="96"/>
      <c r="AR42" s="96"/>
      <c r="AS42" s="95"/>
      <c r="AT42" s="95"/>
      <c r="AU42" s="95"/>
      <c r="AV42" s="96"/>
      <c r="AW42" s="96"/>
      <c r="AX42" s="96"/>
      <c r="AY42" s="96"/>
      <c r="AZ42" s="95"/>
      <c r="BA42" s="95"/>
      <c r="BB42" s="96"/>
      <c r="BC42" s="96"/>
      <c r="BD42" s="96"/>
      <c r="BE42" s="96"/>
      <c r="BF42" s="96"/>
      <c r="BG42" s="95"/>
      <c r="BH42" s="95"/>
      <c r="BI42" s="96"/>
      <c r="BJ42" s="96"/>
      <c r="BK42" s="94"/>
      <c r="BL42" s="94"/>
      <c r="BM42" s="94"/>
      <c r="BN42" s="94"/>
      <c r="BO42" s="94"/>
      <c r="BP42" s="94"/>
      <c r="BQ42" s="94"/>
      <c r="BR42" s="94"/>
      <c r="BS42" s="94"/>
      <c r="BT42" s="94"/>
    </row>
    <row r="43" spans="4:72" s="93" customFormat="1" ht="25" hidden="1" customHeight="1">
      <c r="D43" s="91"/>
      <c r="E43" s="91"/>
      <c r="F43" s="91"/>
      <c r="G43" s="91"/>
      <c r="H43" s="92"/>
      <c r="I43" s="92"/>
      <c r="J43" s="90"/>
      <c r="K43" s="90"/>
      <c r="L43" s="90"/>
      <c r="M43" s="90"/>
      <c r="N43" s="92"/>
      <c r="O43" s="92"/>
      <c r="P43" s="90"/>
      <c r="Q43" s="90"/>
      <c r="R43" s="90"/>
      <c r="S43" s="92"/>
      <c r="T43" s="92"/>
      <c r="U43" s="92"/>
      <c r="V43" s="90"/>
      <c r="W43" s="90"/>
      <c r="X43" s="90"/>
      <c r="Y43" s="90"/>
      <c r="Z43" s="92"/>
      <c r="AA43" s="92"/>
      <c r="AB43" s="90"/>
      <c r="AC43" s="90"/>
      <c r="AD43" s="90"/>
      <c r="AE43" s="90"/>
      <c r="AF43" s="92"/>
      <c r="AG43" s="92"/>
      <c r="AH43" s="92"/>
      <c r="AI43" s="90"/>
      <c r="AJ43" s="90"/>
      <c r="AK43" s="90"/>
      <c r="AL43" s="92"/>
      <c r="AM43" s="92"/>
      <c r="AN43" s="92"/>
      <c r="AO43" s="92"/>
      <c r="AP43" s="90"/>
      <c r="AQ43" s="90"/>
      <c r="AR43" s="90"/>
      <c r="AS43" s="92"/>
      <c r="AT43" s="92"/>
      <c r="AU43" s="92"/>
      <c r="AV43" s="90"/>
      <c r="AW43" s="90"/>
      <c r="AX43" s="90"/>
      <c r="AY43" s="90"/>
      <c r="AZ43" s="92"/>
      <c r="BA43" s="92"/>
      <c r="BB43" s="90"/>
      <c r="BC43" s="90"/>
      <c r="BD43" s="90"/>
      <c r="BE43" s="90"/>
      <c r="BF43" s="90"/>
      <c r="BG43" s="92"/>
      <c r="BH43" s="92"/>
      <c r="BI43" s="90"/>
      <c r="BJ43" s="90"/>
      <c r="BK43" s="91"/>
      <c r="BL43" s="91"/>
      <c r="BM43" s="91"/>
      <c r="BN43" s="91"/>
      <c r="BO43" s="91"/>
      <c r="BP43" s="91"/>
      <c r="BQ43" s="91"/>
      <c r="BR43" s="91"/>
      <c r="BS43" s="91"/>
      <c r="BT43" s="91"/>
    </row>
    <row r="44" spans="4:72" s="93" customFormat="1" ht="21" hidden="1" customHeight="1">
      <c r="D44" s="91"/>
      <c r="E44" s="91"/>
      <c r="F44" s="91"/>
      <c r="G44" s="91"/>
      <c r="H44" s="92"/>
      <c r="I44" s="92"/>
      <c r="J44" s="90"/>
      <c r="K44" s="90"/>
      <c r="L44" s="90"/>
      <c r="M44" s="90"/>
      <c r="N44" s="92"/>
      <c r="O44" s="92"/>
      <c r="P44" s="90"/>
      <c r="Q44" s="90"/>
      <c r="R44" s="90"/>
      <c r="S44" s="92"/>
      <c r="T44" s="92"/>
      <c r="U44" s="92"/>
      <c r="V44" s="90"/>
      <c r="W44" s="90"/>
      <c r="X44" s="90"/>
      <c r="Y44" s="90"/>
      <c r="Z44" s="92"/>
      <c r="AA44" s="92"/>
      <c r="AB44" s="90"/>
      <c r="AC44" s="90"/>
      <c r="AD44" s="90"/>
      <c r="AE44" s="90"/>
      <c r="AF44" s="92"/>
      <c r="AG44" s="92"/>
      <c r="AH44" s="92"/>
      <c r="AI44" s="90"/>
      <c r="AJ44" s="90"/>
      <c r="AK44" s="90"/>
      <c r="AL44" s="92"/>
      <c r="AM44" s="92"/>
      <c r="AN44" s="92"/>
      <c r="AO44" s="92"/>
      <c r="AP44" s="90"/>
      <c r="AQ44" s="90"/>
      <c r="AR44" s="90"/>
      <c r="AS44" s="92"/>
      <c r="AT44" s="92"/>
      <c r="AU44" s="92"/>
      <c r="AV44" s="90"/>
      <c r="AW44" s="90"/>
      <c r="AX44" s="90"/>
      <c r="AY44" s="90"/>
      <c r="AZ44" s="92"/>
      <c r="BA44" s="92"/>
      <c r="BB44" s="90"/>
      <c r="BC44" s="90"/>
      <c r="BD44" s="90"/>
      <c r="BE44" s="90"/>
      <c r="BF44" s="90"/>
      <c r="BG44" s="92"/>
      <c r="BH44" s="92"/>
      <c r="BI44" s="90"/>
      <c r="BJ44" s="90"/>
      <c r="BK44" s="91"/>
      <c r="BL44" s="91"/>
      <c r="BM44" s="91"/>
      <c r="BN44" s="91"/>
      <c r="BO44" s="91"/>
      <c r="BP44" s="91"/>
      <c r="BQ44" s="91"/>
      <c r="BR44" s="91"/>
      <c r="BS44" s="91"/>
      <c r="BT44" s="91"/>
    </row>
    <row r="45" spans="4:72" s="71" customFormat="1" ht="17.5" hidden="1" customHeight="1">
      <c r="D45" s="72"/>
      <c r="E45" s="72"/>
      <c r="F45" s="97"/>
      <c r="G45" s="97"/>
      <c r="H45" s="271" t="str">
        <f>M29</f>
        <v>M 40 A</v>
      </c>
      <c r="I45" s="271"/>
      <c r="J45" s="271"/>
      <c r="K45" s="271"/>
      <c r="L45" s="271"/>
      <c r="M45" s="98"/>
      <c r="N45" s="98"/>
      <c r="O45" s="99"/>
      <c r="P45" s="99"/>
      <c r="Q45" s="99"/>
      <c r="R45" s="100" t="s">
        <v>14</v>
      </c>
      <c r="S45" s="99"/>
      <c r="T45" s="99"/>
      <c r="U45" s="99"/>
      <c r="V45" s="99"/>
      <c r="W45" s="244" t="str">
        <f>VLOOKUP($R$45,'Mix Design'!B3:U49,2,FALSE)</f>
        <v>M SAND</v>
      </c>
      <c r="X45" s="244"/>
      <c r="Y45" s="244"/>
      <c r="Z45" s="244"/>
      <c r="AA45" s="244" t="str">
        <f>VLOOKUP($R$45,'Mix Design'!B3:U49,3,FALSE)</f>
        <v xml:space="preserve">M SAND </v>
      </c>
      <c r="AB45" s="244"/>
      <c r="AC45" s="244"/>
      <c r="AD45" s="244"/>
      <c r="AE45" s="244" t="str">
        <f>VLOOKUP($R$45,'Mix Design'!B3:U49,4,FALSE)</f>
        <v>12 MM</v>
      </c>
      <c r="AF45" s="244"/>
      <c r="AG45" s="244" t="str">
        <f>VLOOKUP($R$45,'Mix Design'!B3:U49,5,FALSE)</f>
        <v>20 MM</v>
      </c>
      <c r="AH45" s="244"/>
      <c r="AI45" s="244"/>
      <c r="AJ45" s="100" t="str">
        <f>VLOOKUP($R$45,'Mix Design'!B3:U49,6,FALSE)</f>
        <v>0</v>
      </c>
      <c r="AK45" s="100"/>
      <c r="AL45" s="245" t="str">
        <f>VLOOKUP($R$45,'Mix Design'!B3:U49,7,FALSE)</f>
        <v>CEM 1</v>
      </c>
      <c r="AM45" s="245"/>
      <c r="AN45" s="245"/>
      <c r="AO45" s="245"/>
      <c r="AP45" s="245" t="str">
        <f>VLOOKUP($R$45,'Mix Design'!B3:U49,8,FALSE)</f>
        <v>CEM 2</v>
      </c>
      <c r="AQ45" s="245"/>
      <c r="AR45" s="245" t="str">
        <f>VLOOKUP($R$45,'Mix Design'!B3:U49,9,FALSE)</f>
        <v>CEM 3</v>
      </c>
      <c r="AS45" s="245"/>
      <c r="AT45" s="245"/>
      <c r="AU45" s="100"/>
      <c r="AV45" s="245" t="str">
        <f>VLOOKUP($R$45,'Mix Design'!B3:U49,10,FALSE)</f>
        <v>ADMIX1</v>
      </c>
      <c r="AW45" s="245"/>
      <c r="AX45" s="245"/>
      <c r="AY45" s="245" t="str">
        <f>VLOOKUP($R$45,'Mix Design'!B3:U49,11,FALSE)</f>
        <v>ADMIX2</v>
      </c>
      <c r="AZ45" s="245"/>
      <c r="BA45" s="245"/>
      <c r="BB45" s="100"/>
      <c r="BC45" s="245" t="str">
        <f>VLOOKUP($R$45,'Mix Design'!B3:U49,12,FALSE)</f>
        <v>WATER</v>
      </c>
      <c r="BD45" s="245"/>
      <c r="BE45" s="245"/>
      <c r="BF45" s="245"/>
      <c r="BG45" s="245" t="s">
        <v>106</v>
      </c>
      <c r="BH45" s="245"/>
      <c r="BI45" s="245"/>
      <c r="BJ45" s="98"/>
      <c r="BK45" s="98"/>
      <c r="BL45" s="72"/>
      <c r="BM45" s="99" t="s">
        <v>207</v>
      </c>
      <c r="BN45" s="99"/>
      <c r="BO45" s="99"/>
      <c r="BP45" s="99"/>
      <c r="BQ45" s="72"/>
      <c r="BR45" s="72"/>
      <c r="BS45" s="72"/>
      <c r="BT45" s="72"/>
    </row>
    <row r="46" spans="4:72" s="71" customFormat="1" ht="14.5" hidden="1" customHeight="1">
      <c r="D46" s="72"/>
      <c r="E46" s="97"/>
      <c r="F46" s="97"/>
      <c r="G46" s="97"/>
      <c r="H46" s="98"/>
      <c r="I46" s="98"/>
      <c r="J46" s="98"/>
      <c r="K46" s="98"/>
      <c r="L46" s="98"/>
      <c r="M46" s="98"/>
      <c r="N46" s="98"/>
      <c r="O46" s="101"/>
      <c r="P46" s="245" t="s">
        <v>105</v>
      </c>
      <c r="Q46" s="245"/>
      <c r="R46" s="245"/>
      <c r="S46" s="99"/>
      <c r="T46" s="99"/>
      <c r="U46" s="99"/>
      <c r="V46" s="99"/>
      <c r="W46" s="265">
        <f>_xlfn.IFNA(VLOOKUP(Load!$H$45,'Mix Design'!B3:W65,2,FALSE),"")</f>
        <v>0</v>
      </c>
      <c r="X46" s="265"/>
      <c r="Y46" s="265"/>
      <c r="Z46" s="265"/>
      <c r="AA46" s="265">
        <f>_xlfn.IFNA(VLOOKUP(Load!$H$45,'Mix Design'!B3:W65,3,FALSE),"")</f>
        <v>743</v>
      </c>
      <c r="AB46" s="265"/>
      <c r="AC46" s="265"/>
      <c r="AD46" s="265"/>
      <c r="AE46" s="265">
        <f>_xlfn.IFNA(VLOOKUP(Load!$H$45,'Mix Design'!B3:W65,4,FALSE),"")</f>
        <v>435</v>
      </c>
      <c r="AF46" s="265"/>
      <c r="AG46" s="265">
        <f>_xlfn.IFNA(VLOOKUP(Load!$H$45,'Mix Design'!B3:W65,5,FALSE),"")</f>
        <v>681</v>
      </c>
      <c r="AH46" s="265"/>
      <c r="AI46" s="265"/>
      <c r="AJ46" s="102">
        <f>_xlfn.IFNA(VLOOKUP(Load!$H$45,'Mix Design'!B3:W65,6,FALSE),"")</f>
        <v>0</v>
      </c>
      <c r="AK46" s="102"/>
      <c r="AL46" s="262">
        <f>_xlfn.IFNA(VLOOKUP(Load!$H$45,'Mix Design'!B3:W65,7,FALSE),)</f>
        <v>340</v>
      </c>
      <c r="AM46" s="262"/>
      <c r="AN46" s="262"/>
      <c r="AO46" s="262"/>
      <c r="AP46" s="262">
        <f>_xlfn.IFNA(VLOOKUP(Load!$H$45,'Mix Design'!B3:W65,8,FALSE),)</f>
        <v>0</v>
      </c>
      <c r="AQ46" s="262"/>
      <c r="AR46" s="262">
        <f>_xlfn.IFNA(VLOOKUP(Load!$H$45,'Mix Design'!B3:W65,9,FALSE),)</f>
        <v>100</v>
      </c>
      <c r="AS46" s="262"/>
      <c r="AT46" s="262"/>
      <c r="AU46" s="103"/>
      <c r="AV46" s="264">
        <f>_xlfn.IFNA(VLOOKUP(Load!$H$45,'Mix Design'!B3:W65,10,FALSE),)</f>
        <v>2.6</v>
      </c>
      <c r="AW46" s="264"/>
      <c r="AX46" s="264"/>
      <c r="AY46" s="264">
        <f>_xlfn.IFNA(VLOOKUP(Load!$H$45,'Mix Design'!B3:W65,11,FALSE),)</f>
        <v>0</v>
      </c>
      <c r="AZ46" s="264"/>
      <c r="BA46" s="264"/>
      <c r="BB46" s="104"/>
      <c r="BC46" s="262">
        <f>_xlfn.IFNA(VLOOKUP(Load!$H$45,'Mix Design'!B3:W65,12,FALSE),)</f>
        <v>154</v>
      </c>
      <c r="BD46" s="262"/>
      <c r="BE46" s="262"/>
      <c r="BF46" s="262"/>
      <c r="BG46" s="261">
        <f>_xlfn.IFNA(SUM(S46:BF46),)</f>
        <v>2455.6</v>
      </c>
      <c r="BH46" s="261"/>
      <c r="BI46" s="261"/>
      <c r="BJ46" s="98"/>
      <c r="BK46" s="98"/>
      <c r="BL46" s="72"/>
      <c r="BM46" s="188">
        <f>IF(ISBLANK(VLOOKUP(Load!$H$45,'Mix Design'!B3:W65,21,FALSE)), -1, VLOOKUP(Load!$H$45,'Mix Design'!B3:W65,21,FALSE))</f>
        <v>-2</v>
      </c>
      <c r="BN46" s="188"/>
      <c r="BO46" s="188">
        <f>IF(ISBLANK(VLOOKUP(Load!$H$45,'Mix Design'!B3:W65,22,FALSE)), 3, VLOOKUP(Load!$H$45,'Mix Design'!B3:W65,22,FALSE))</f>
        <v>4</v>
      </c>
      <c r="BP46" s="188"/>
      <c r="BQ46" s="72"/>
      <c r="BR46" s="72"/>
      <c r="BS46" s="72"/>
      <c r="BT46" s="72"/>
    </row>
    <row r="47" spans="4:72" s="71" customFormat="1" ht="14.5" hidden="1" customHeight="1">
      <c r="D47" s="72"/>
      <c r="E47" s="97"/>
      <c r="F47" s="97"/>
      <c r="G47" s="97"/>
      <c r="H47" s="98"/>
      <c r="I47" s="98"/>
      <c r="J47" s="98"/>
      <c r="K47" s="98"/>
      <c r="L47" s="98"/>
      <c r="M47" s="98"/>
      <c r="N47" s="98"/>
      <c r="O47" s="245" t="s">
        <v>107</v>
      </c>
      <c r="P47" s="245"/>
      <c r="Q47" s="245"/>
      <c r="R47" s="245"/>
      <c r="S47" s="99"/>
      <c r="T47" s="99"/>
      <c r="U47" s="99"/>
      <c r="V47" s="99"/>
      <c r="W47" s="263">
        <f>_xlfn.IFNA(VLOOKUP(Load!$H$45,'Mix Design'!B3:W65,13,FALSE),"")</f>
        <v>0</v>
      </c>
      <c r="X47" s="263"/>
      <c r="Y47" s="263"/>
      <c r="Z47" s="263"/>
      <c r="AA47" s="263">
        <f>_xlfn.IFNA(VLOOKUP(Load!$H$45,'Mix Design'!B3:W65,14,FALSE),"")</f>
        <v>2</v>
      </c>
      <c r="AB47" s="263"/>
      <c r="AC47" s="263"/>
      <c r="AD47" s="263"/>
      <c r="AE47" s="263">
        <f>_xlfn.IFNA(VLOOKUP(Load!$H$45,'Mix Design'!B3:W65,15,FALSE),"")</f>
        <v>1</v>
      </c>
      <c r="AF47" s="263"/>
      <c r="AG47" s="263">
        <f>_xlfn.IFNA(VLOOKUP(Load!$H$45,'Mix Design'!B3:W65,16,FALSE),"")</f>
        <v>1</v>
      </c>
      <c r="AH47" s="263"/>
      <c r="AI47" s="263"/>
      <c r="AJ47" s="105"/>
      <c r="AK47" s="98"/>
      <c r="AL47" s="98"/>
      <c r="AM47" s="98"/>
      <c r="AN47" s="98"/>
      <c r="AO47" s="98"/>
      <c r="AP47" s="98"/>
      <c r="AQ47" s="105"/>
      <c r="AR47" s="105"/>
      <c r="AS47" s="105"/>
      <c r="AT47" s="105"/>
      <c r="AU47" s="105"/>
      <c r="AV47" s="98"/>
      <c r="AW47" s="105"/>
      <c r="AX47" s="105"/>
      <c r="AY47" s="105"/>
      <c r="AZ47" s="105"/>
      <c r="BA47" s="105"/>
      <c r="BB47" s="98"/>
      <c r="BC47" s="105"/>
      <c r="BD47" s="105"/>
      <c r="BE47" s="105"/>
      <c r="BF47" s="105"/>
      <c r="BG47" s="105"/>
      <c r="BH47" s="105"/>
      <c r="BI47" s="105"/>
      <c r="BJ47" s="98"/>
      <c r="BK47" s="98"/>
      <c r="BL47" s="72"/>
      <c r="BM47" s="72"/>
      <c r="BN47" s="72"/>
      <c r="BO47" s="72"/>
      <c r="BP47" s="72"/>
      <c r="BQ47" s="72"/>
      <c r="BR47" s="72"/>
      <c r="BS47" s="72"/>
      <c r="BT47" s="72"/>
    </row>
    <row r="48" spans="4:72" s="71" customFormat="1" ht="14.5" hidden="1" customHeight="1">
      <c r="D48" s="106"/>
      <c r="E48" s="107"/>
      <c r="F48" s="107"/>
      <c r="G48" s="107"/>
      <c r="H48" s="108"/>
      <c r="I48" s="108"/>
      <c r="J48" s="108"/>
      <c r="K48" s="108"/>
      <c r="L48" s="108"/>
      <c r="M48" s="108"/>
      <c r="N48" s="108"/>
      <c r="O48" s="272" t="s">
        <v>108</v>
      </c>
      <c r="P48" s="272"/>
      <c r="Q48" s="272"/>
      <c r="R48" s="272"/>
      <c r="S48" s="109"/>
      <c r="T48" s="109"/>
      <c r="U48" s="109"/>
      <c r="V48" s="109"/>
      <c r="W48" s="260">
        <f>_xlfn.IFNA(VLOOKUP(Load!$H$45,'Mix Design'!B3:W65,17,FALSE),"")</f>
        <v>0</v>
      </c>
      <c r="X48" s="260"/>
      <c r="Y48" s="260"/>
      <c r="Z48" s="260"/>
      <c r="AA48" s="260">
        <f>_xlfn.IFNA(VLOOKUP(Load!$H$45,'Mix Design'!B3:W65,18,FALSE),"")</f>
        <v>4.5</v>
      </c>
      <c r="AB48" s="260"/>
      <c r="AC48" s="260"/>
      <c r="AD48" s="260"/>
      <c r="AE48" s="260">
        <f>_xlfn.IFNA(VLOOKUP(Load!$H$45,'Mix Design'!B3:W65,19,FALSE),"")</f>
        <v>0</v>
      </c>
      <c r="AF48" s="260"/>
      <c r="AG48" s="260">
        <f>_xlfn.IFNA(VLOOKUP(Load!$H$45,'Mix Design'!B3:W65,20,FALSE),"")</f>
        <v>0</v>
      </c>
      <c r="AH48" s="260"/>
      <c r="AI48" s="260"/>
      <c r="AJ48" s="110"/>
      <c r="AK48" s="108"/>
      <c r="AL48" s="108"/>
      <c r="AM48" s="108"/>
      <c r="AN48" s="108"/>
      <c r="AO48" s="108"/>
      <c r="AP48" s="108"/>
      <c r="AQ48" s="110"/>
      <c r="AR48" s="110"/>
      <c r="AS48" s="110"/>
      <c r="AT48" s="110"/>
      <c r="AU48" s="110"/>
      <c r="AV48" s="108"/>
      <c r="AW48" s="110"/>
      <c r="AX48" s="110"/>
      <c r="AY48" s="110"/>
      <c r="AZ48" s="110"/>
      <c r="BA48" s="110"/>
      <c r="BB48" s="108"/>
      <c r="BC48" s="110"/>
      <c r="BD48" s="110"/>
      <c r="BE48" s="110"/>
      <c r="BF48" s="110"/>
      <c r="BG48" s="110"/>
      <c r="BH48" s="110"/>
      <c r="BI48" s="110"/>
      <c r="BJ48" s="108"/>
      <c r="BK48" s="108"/>
      <c r="BL48" s="106"/>
      <c r="BM48" s="106"/>
      <c r="BN48" s="106"/>
      <c r="BO48" s="106"/>
      <c r="BP48" s="106"/>
      <c r="BQ48" s="106"/>
      <c r="BR48" s="106"/>
      <c r="BS48" s="106"/>
      <c r="BT48" s="106"/>
    </row>
    <row r="49" spans="4:89" s="71" customFormat="1" ht="14" hidden="1">
      <c r="D49" s="72"/>
      <c r="E49" s="72"/>
      <c r="F49" s="72"/>
      <c r="G49" s="72"/>
      <c r="H49" s="72"/>
      <c r="I49" s="72"/>
      <c r="J49" s="72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113">
        <f>SUM(W46:AI46)</f>
        <v>1859</v>
      </c>
      <c r="Z49" s="113">
        <f>SUM(AL46:AT46)</f>
        <v>440</v>
      </c>
      <c r="AA49" s="72"/>
      <c r="AB49" s="72"/>
      <c r="AC49" s="72"/>
      <c r="AD49" s="72"/>
      <c r="AE49" s="72"/>
      <c r="AF49" s="72"/>
      <c r="AG49" s="72"/>
      <c r="AH49" s="72"/>
      <c r="AI49" s="72"/>
      <c r="AJ49" s="72"/>
      <c r="AK49" s="72"/>
      <c r="AL49" s="72"/>
      <c r="AM49" s="72"/>
      <c r="AN49" s="72"/>
      <c r="AO49" s="72"/>
      <c r="AP49" s="72"/>
      <c r="AQ49" s="72"/>
      <c r="AR49" s="72"/>
      <c r="AS49" s="72"/>
      <c r="AT49" s="72"/>
      <c r="AU49" s="72"/>
      <c r="AV49" s="72"/>
      <c r="AW49" s="72"/>
      <c r="AX49" s="72"/>
      <c r="AY49" s="72"/>
      <c r="AZ49" s="72"/>
      <c r="BA49" s="72"/>
      <c r="BB49" s="72"/>
      <c r="BC49" s="72"/>
      <c r="BD49" s="72"/>
      <c r="BE49" s="72"/>
      <c r="BF49" s="72"/>
      <c r="BG49" s="72"/>
      <c r="BH49" s="72"/>
      <c r="BI49" s="72"/>
      <c r="BJ49" s="72"/>
      <c r="BK49" s="72"/>
      <c r="BL49" s="72"/>
      <c r="BM49" s="72"/>
      <c r="BN49" s="72"/>
      <c r="BO49" s="72"/>
      <c r="BP49" s="72"/>
      <c r="BQ49" s="72"/>
      <c r="BR49" s="72"/>
      <c r="BS49" s="72"/>
      <c r="BT49" s="72"/>
    </row>
    <row r="50" spans="4:89" s="71" customFormat="1" ht="14" hidden="1"/>
    <row r="51" spans="4:89" s="71" customFormat="1" ht="14" hidden="1">
      <c r="AH51" s="116" t="s">
        <v>53</v>
      </c>
    </row>
    <row r="52" spans="4:89" hidden="1">
      <c r="Y52" s="55" t="str">
        <f>W45</f>
        <v>M SAND</v>
      </c>
      <c r="Z52" s="114">
        <f>W46</f>
        <v>0</v>
      </c>
      <c r="AH52" s="117">
        <f>VLOOKUP(AH51,Y52:Z55,2,FALSE)</f>
        <v>681</v>
      </c>
    </row>
    <row r="53" spans="4:89" hidden="1">
      <c r="Y53" s="55" t="str">
        <f>AA45</f>
        <v xml:space="preserve">M SAND </v>
      </c>
      <c r="Z53" s="114">
        <f>AA46</f>
        <v>743</v>
      </c>
    </row>
    <row r="54" spans="4:89" hidden="1">
      <c r="H54" s="266"/>
      <c r="I54" s="266"/>
      <c r="J54" s="111"/>
      <c r="K54" s="111"/>
      <c r="L54" s="111"/>
      <c r="M54" s="111"/>
      <c r="N54" s="111"/>
      <c r="Y54" s="55" t="str">
        <f>AE45</f>
        <v>12 MM</v>
      </c>
      <c r="Z54" s="114">
        <f>AE46</f>
        <v>435</v>
      </c>
    </row>
    <row r="55" spans="4:89" hidden="1">
      <c r="H55" s="266"/>
      <c r="I55" s="266"/>
      <c r="Y55" s="55" t="str">
        <f>AG45</f>
        <v>20 MM</v>
      </c>
      <c r="Z55" s="114">
        <f>AG46</f>
        <v>681</v>
      </c>
    </row>
    <row r="56" spans="4:89" hidden="1">
      <c r="AH56" s="118" t="s">
        <v>55</v>
      </c>
    </row>
    <row r="57" spans="4:89" hidden="1">
      <c r="H57" s="270"/>
      <c r="I57" s="270"/>
      <c r="J57" s="270"/>
      <c r="K57" s="270"/>
      <c r="L57" s="270"/>
      <c r="M57" s="270"/>
      <c r="N57" s="270"/>
      <c r="Y57" s="55" t="str">
        <f>AL45</f>
        <v>CEM 1</v>
      </c>
      <c r="Z57" s="114">
        <f>AL46</f>
        <v>340</v>
      </c>
      <c r="AH57" s="117">
        <f>VLOOKUP(AH56,Y57:Z59,2,FALSE)</f>
        <v>340</v>
      </c>
    </row>
    <row r="58" spans="4:89" hidden="1">
      <c r="H58" s="268"/>
      <c r="I58" s="269"/>
      <c r="J58" s="269"/>
      <c r="K58" s="269"/>
      <c r="L58" s="269"/>
      <c r="Y58" s="55" t="str">
        <f>AP45</f>
        <v>CEM 2</v>
      </c>
      <c r="Z58" s="114">
        <f>AP46</f>
        <v>0</v>
      </c>
    </row>
    <row r="59" spans="4:89" hidden="1">
      <c r="H59" s="267"/>
      <c r="I59" s="267"/>
      <c r="J59" s="267"/>
      <c r="K59" s="267"/>
      <c r="L59" s="267"/>
      <c r="M59" s="267"/>
      <c r="N59" s="267"/>
      <c r="O59" s="267"/>
      <c r="Y59" s="55" t="str">
        <f>AR45</f>
        <v>CEM 3</v>
      </c>
      <c r="Z59" s="114">
        <f>AR46</f>
        <v>100</v>
      </c>
    </row>
    <row r="60" spans="4:89" hidden="1">
      <c r="Y60" s="112"/>
      <c r="AH60" s="118" t="s">
        <v>58</v>
      </c>
    </row>
    <row r="61" spans="4:89" hidden="1">
      <c r="Y61" s="55" t="str">
        <f>AV45</f>
        <v>ADMIX1</v>
      </c>
      <c r="Z61" s="115">
        <f>AV46</f>
        <v>2.6</v>
      </c>
      <c r="AH61" s="119">
        <f>IF(AH60=Y61,Z61,Z62)</f>
        <v>2.6</v>
      </c>
    </row>
    <row r="62" spans="4:89" ht="16" hidden="1">
      <c r="Y62" s="55" t="str">
        <f>AY45</f>
        <v>ADMIX2</v>
      </c>
      <c r="Z62" s="115">
        <f>AY46</f>
        <v>0</v>
      </c>
      <c r="CI62" s="122"/>
      <c r="CK62" s="122"/>
    </row>
    <row r="63" spans="4:89" ht="16" hidden="1">
      <c r="CI63" s="123"/>
      <c r="CK63" s="123"/>
    </row>
    <row r="64" spans="4:89" ht="16" hidden="1">
      <c r="CI64" s="123"/>
      <c r="CK64" s="123"/>
    </row>
    <row r="65" spans="86:89" ht="16">
      <c r="CI65" s="123"/>
      <c r="CK65" s="123"/>
    </row>
    <row r="66" spans="86:89" ht="16">
      <c r="CI66" s="123"/>
      <c r="CK66" s="123"/>
    </row>
    <row r="67" spans="86:89" ht="16">
      <c r="CI67" s="123"/>
      <c r="CK67" s="123"/>
    </row>
    <row r="68" spans="86:89" ht="16">
      <c r="CI68" s="123"/>
      <c r="CK68" s="123"/>
    </row>
    <row r="69" spans="86:89" ht="16">
      <c r="CI69" s="123"/>
      <c r="CK69" s="123"/>
    </row>
    <row r="70" spans="86:89" ht="16">
      <c r="CI70" s="123"/>
      <c r="CK70" s="123"/>
    </row>
    <row r="71" spans="86:89" ht="16">
      <c r="CI71" s="123"/>
      <c r="CK71" s="123"/>
    </row>
    <row r="72" spans="86:89" ht="16">
      <c r="CI72" s="123"/>
      <c r="CK72" s="123"/>
    </row>
    <row r="73" spans="86:89" ht="16">
      <c r="CI73" s="123"/>
      <c r="CK73" s="123"/>
    </row>
    <row r="74" spans="86:89" ht="16">
      <c r="CI74" s="123"/>
      <c r="CK74" s="123"/>
    </row>
    <row r="75" spans="86:89" ht="16">
      <c r="CI75" s="123"/>
      <c r="CK75" s="123"/>
    </row>
    <row r="76" spans="86:89" ht="16">
      <c r="CH76" s="123"/>
      <c r="CI76" s="123"/>
      <c r="CK76" s="123"/>
    </row>
    <row r="77" spans="86:89" ht="16">
      <c r="CH77" s="123"/>
      <c r="CI77" s="123"/>
      <c r="CK77" s="123"/>
    </row>
    <row r="78" spans="86:89" ht="16">
      <c r="CH78" s="123"/>
      <c r="CI78" s="123"/>
      <c r="CK78" s="123"/>
    </row>
    <row r="79" spans="86:89" ht="16">
      <c r="CH79" s="123"/>
      <c r="CI79" s="123"/>
      <c r="CK79" s="123"/>
    </row>
    <row r="80" spans="86:89" ht="16">
      <c r="CH80" s="123"/>
      <c r="CI80" s="123"/>
      <c r="CK80" s="123"/>
    </row>
    <row r="81" spans="86:89" ht="16">
      <c r="CH81" s="123"/>
      <c r="CI81" s="123"/>
      <c r="CK81" s="123"/>
    </row>
    <row r="82" spans="86:89" ht="16">
      <c r="CH82" s="123"/>
      <c r="CI82" s="123"/>
      <c r="CK82" s="123"/>
    </row>
    <row r="83" spans="86:89" ht="16">
      <c r="CH83" s="123"/>
      <c r="CI83" s="123"/>
      <c r="CK83" s="123"/>
    </row>
    <row r="84" spans="86:89" ht="16">
      <c r="CH84" s="123"/>
      <c r="CI84" s="123"/>
      <c r="CK84" s="123"/>
    </row>
    <row r="85" spans="86:89" ht="16">
      <c r="CH85" s="123"/>
      <c r="CI85" s="123"/>
      <c r="CK85" s="123"/>
    </row>
    <row r="86" spans="86:89" ht="16">
      <c r="CH86" s="123"/>
      <c r="CI86" s="123"/>
      <c r="CK86" s="123"/>
    </row>
    <row r="87" spans="86:89" ht="16">
      <c r="CH87" s="123"/>
      <c r="CI87" s="123"/>
      <c r="CK87" s="123"/>
    </row>
    <row r="88" spans="86:89" ht="16">
      <c r="CH88" s="123"/>
      <c r="CI88" s="123"/>
      <c r="CK88" s="123"/>
    </row>
    <row r="89" spans="86:89" ht="16">
      <c r="CH89" s="123"/>
      <c r="CI89" s="123"/>
      <c r="CK89" s="123"/>
    </row>
    <row r="90" spans="86:89" ht="16">
      <c r="CH90" s="123"/>
      <c r="CI90" s="123"/>
      <c r="CK90" s="123"/>
    </row>
    <row r="91" spans="86:89" ht="16">
      <c r="CH91" s="123"/>
      <c r="CI91" s="123"/>
      <c r="CK91" s="123"/>
    </row>
    <row r="92" spans="86:89" ht="16">
      <c r="CH92" s="123"/>
      <c r="CI92" s="123"/>
      <c r="CK92" s="123"/>
    </row>
    <row r="93" spans="86:89" ht="16">
      <c r="CH93" s="123"/>
      <c r="CI93" s="123"/>
      <c r="CK93" s="123"/>
    </row>
    <row r="94" spans="86:89" ht="16">
      <c r="CH94" s="123"/>
      <c r="CI94" s="123"/>
      <c r="CK94" s="123"/>
    </row>
    <row r="95" spans="86:89" ht="16">
      <c r="CH95" s="123"/>
      <c r="CI95" s="123"/>
      <c r="CK95" s="123"/>
    </row>
    <row r="96" spans="86:89" ht="16">
      <c r="CH96" s="123"/>
      <c r="CI96" s="123"/>
      <c r="CK96" s="123"/>
    </row>
    <row r="97" spans="86:89" ht="16">
      <c r="CH97" s="123"/>
      <c r="CI97" s="123"/>
      <c r="CK97" s="123"/>
    </row>
    <row r="98" spans="86:89" ht="16">
      <c r="CH98" s="123"/>
      <c r="CI98" s="123"/>
      <c r="CK98" s="123"/>
    </row>
    <row r="99" spans="86:89" ht="16">
      <c r="CH99" s="123"/>
      <c r="CI99" s="123"/>
      <c r="CK99" s="123"/>
    </row>
    <row r="100" spans="86:89" ht="16">
      <c r="CH100" s="123"/>
      <c r="CI100" s="123"/>
      <c r="CK100" s="123"/>
    </row>
    <row r="101" spans="86:89" ht="16">
      <c r="CH101" s="123"/>
      <c r="CI101" s="123"/>
      <c r="CK101" s="123"/>
    </row>
    <row r="102" spans="86:89" ht="16">
      <c r="CH102" s="123"/>
      <c r="CI102" s="123"/>
      <c r="CK102" s="123"/>
    </row>
    <row r="103" spans="86:89" ht="16">
      <c r="CH103" s="123"/>
      <c r="CI103" s="123"/>
      <c r="CK103" s="123"/>
    </row>
    <row r="104" spans="86:89" ht="16">
      <c r="CH104" s="123"/>
      <c r="CI104" s="123"/>
      <c r="CK104" s="123"/>
    </row>
    <row r="105" spans="86:89" ht="16">
      <c r="CH105" s="123"/>
      <c r="CI105" s="123"/>
      <c r="CK105" s="123"/>
    </row>
    <row r="106" spans="86:89" ht="16">
      <c r="CH106" s="123"/>
      <c r="CI106" s="123"/>
      <c r="CK106" s="123"/>
    </row>
    <row r="107" spans="86:89" ht="16">
      <c r="CH107" s="123"/>
      <c r="CI107" s="123"/>
      <c r="CK107" s="123"/>
    </row>
    <row r="108" spans="86:89" ht="16">
      <c r="CH108" s="123"/>
      <c r="CI108" s="123"/>
      <c r="CK108" s="123"/>
    </row>
    <row r="109" spans="86:89" ht="16">
      <c r="CH109" s="123"/>
      <c r="CI109" s="123"/>
      <c r="CK109" s="123"/>
    </row>
    <row r="110" spans="86:89" ht="16">
      <c r="CH110" s="123"/>
      <c r="CI110" s="123"/>
      <c r="CK110" s="123"/>
    </row>
    <row r="111" spans="86:89" ht="16">
      <c r="CH111" s="123"/>
      <c r="CI111" s="123"/>
      <c r="CK111" s="123"/>
    </row>
    <row r="112" spans="86:89" ht="16">
      <c r="CH112" s="123"/>
      <c r="CI112" s="123"/>
      <c r="CK112" s="123"/>
    </row>
    <row r="113" spans="86:89" ht="16">
      <c r="CH113" s="123"/>
      <c r="CI113" s="123"/>
      <c r="CK113" s="123"/>
    </row>
    <row r="114" spans="86:89" ht="16">
      <c r="CH114" s="123"/>
      <c r="CI114" s="123"/>
      <c r="CK114" s="123"/>
    </row>
    <row r="115" spans="86:89" ht="16">
      <c r="CH115" s="123"/>
      <c r="CI115" s="123"/>
      <c r="CK115" s="123"/>
    </row>
    <row r="116" spans="86:89" ht="16">
      <c r="CH116" s="123"/>
      <c r="CI116" s="123"/>
      <c r="CK116" s="123"/>
    </row>
    <row r="117" spans="86:89" ht="16">
      <c r="CH117" s="123"/>
      <c r="CI117" s="123"/>
      <c r="CK117" s="123"/>
    </row>
    <row r="118" spans="86:89" ht="16">
      <c r="CH118" s="123"/>
      <c r="CI118" s="123"/>
      <c r="CK118" s="123"/>
    </row>
    <row r="119" spans="86:89" ht="16">
      <c r="CH119" s="123"/>
      <c r="CI119" s="123"/>
      <c r="CK119" s="123"/>
    </row>
    <row r="120" spans="86:89" ht="16">
      <c r="CH120" s="123"/>
      <c r="CI120" s="123"/>
      <c r="CK120" s="123"/>
    </row>
    <row r="121" spans="86:89" ht="16">
      <c r="CH121" s="123"/>
      <c r="CI121" s="123"/>
      <c r="CK121" s="123"/>
    </row>
    <row r="122" spans="86:89" ht="16">
      <c r="CH122" s="123"/>
      <c r="CI122" s="123"/>
      <c r="CK122" s="123"/>
    </row>
    <row r="123" spans="86:89" ht="16">
      <c r="CH123" s="123"/>
      <c r="CI123" s="123"/>
      <c r="CK123" s="123"/>
    </row>
    <row r="124" spans="86:89" ht="16">
      <c r="CH124" s="123"/>
      <c r="CI124" s="123"/>
      <c r="CK124" s="123"/>
    </row>
    <row r="125" spans="86:89" ht="16">
      <c r="CH125" s="123"/>
      <c r="CI125" s="123"/>
      <c r="CK125" s="123"/>
    </row>
    <row r="126" spans="86:89" ht="16">
      <c r="CH126" s="123"/>
      <c r="CI126" s="123"/>
      <c r="CK126" s="123"/>
    </row>
    <row r="127" spans="86:89" ht="16">
      <c r="CH127" s="123"/>
      <c r="CI127" s="123"/>
      <c r="CK127" s="123"/>
    </row>
    <row r="128" spans="86:89" ht="16">
      <c r="CH128" s="123"/>
      <c r="CI128" s="123"/>
      <c r="CK128" s="123"/>
    </row>
    <row r="129" spans="86:89" ht="16">
      <c r="CH129" s="123"/>
      <c r="CI129" s="123"/>
      <c r="CK129" s="123"/>
    </row>
    <row r="130" spans="86:89" ht="16">
      <c r="CH130" s="123"/>
      <c r="CI130" s="123"/>
      <c r="CK130" s="123"/>
    </row>
    <row r="131" spans="86:89" ht="16">
      <c r="CH131" s="123"/>
      <c r="CI131" s="123"/>
      <c r="CK131" s="123"/>
    </row>
    <row r="132" spans="86:89" ht="16">
      <c r="CH132" s="123"/>
      <c r="CI132" s="123"/>
      <c r="CK132" s="123"/>
    </row>
    <row r="133" spans="86:89" ht="16">
      <c r="CH133" s="123"/>
      <c r="CI133" s="123"/>
      <c r="CK133" s="123"/>
    </row>
    <row r="134" spans="86:89" ht="16">
      <c r="CH134" s="123"/>
      <c r="CI134" s="123"/>
      <c r="CK134" s="123"/>
    </row>
  </sheetData>
  <sheetProtection selectLockedCells="1"/>
  <mergeCells count="124">
    <mergeCell ref="H55:I55"/>
    <mergeCell ref="H59:O59"/>
    <mergeCell ref="H58:L58"/>
    <mergeCell ref="H57:N57"/>
    <mergeCell ref="AE48:AF48"/>
    <mergeCell ref="AA45:AD45"/>
    <mergeCell ref="AA46:AD46"/>
    <mergeCell ref="AA47:AD47"/>
    <mergeCell ref="AA48:AD48"/>
    <mergeCell ref="H45:L45"/>
    <mergeCell ref="O47:R47"/>
    <mergeCell ref="O48:R48"/>
    <mergeCell ref="H41:K41"/>
    <mergeCell ref="N41:Q41"/>
    <mergeCell ref="S41:X41"/>
    <mergeCell ref="Z41:AC41"/>
    <mergeCell ref="AF41:AI41"/>
    <mergeCell ref="AL41:AP41"/>
    <mergeCell ref="AR41:AV41"/>
    <mergeCell ref="AX41:BB41"/>
    <mergeCell ref="H54:I54"/>
    <mergeCell ref="AO29:AQ29"/>
    <mergeCell ref="AO32:AQ32"/>
    <mergeCell ref="BE26:BG26"/>
    <mergeCell ref="BG45:BI45"/>
    <mergeCell ref="P46:R46"/>
    <mergeCell ref="W48:Z48"/>
    <mergeCell ref="BG46:BI46"/>
    <mergeCell ref="BC46:BF46"/>
    <mergeCell ref="W47:Z47"/>
    <mergeCell ref="AL46:AO46"/>
    <mergeCell ref="AY46:BA46"/>
    <mergeCell ref="W46:Z46"/>
    <mergeCell ref="AV46:AX46"/>
    <mergeCell ref="AR45:AT45"/>
    <mergeCell ref="AR46:AT46"/>
    <mergeCell ref="AP45:AQ45"/>
    <mergeCell ref="AP46:AQ46"/>
    <mergeCell ref="AG45:AI45"/>
    <mergeCell ref="AG46:AI46"/>
    <mergeCell ref="AG47:AI47"/>
    <mergeCell ref="AG48:AI48"/>
    <mergeCell ref="AE45:AF45"/>
    <mergeCell ref="AE46:AF46"/>
    <mergeCell ref="AE47:AF47"/>
    <mergeCell ref="AT32:AY32"/>
    <mergeCell ref="AZ32:BP32"/>
    <mergeCell ref="AT34:AX34"/>
    <mergeCell ref="BO39:BQ39"/>
    <mergeCell ref="BO37:BQ37"/>
    <mergeCell ref="BO38:BQ38"/>
    <mergeCell ref="W45:Z45"/>
    <mergeCell ref="AL45:AO45"/>
    <mergeCell ref="AY45:BA45"/>
    <mergeCell ref="BC45:BF45"/>
    <mergeCell ref="AV45:AX45"/>
    <mergeCell ref="AZ34:BP34"/>
    <mergeCell ref="AO34:AQ34"/>
    <mergeCell ref="AG34:AM34"/>
    <mergeCell ref="AG31:AN33"/>
    <mergeCell ref="BE41:BH41"/>
    <mergeCell ref="F7:J7"/>
    <mergeCell ref="L7:O7"/>
    <mergeCell ref="Q7:S7"/>
    <mergeCell ref="N10:S11"/>
    <mergeCell ref="G10:L10"/>
    <mergeCell ref="M32:AC32"/>
    <mergeCell ref="M34:AC34"/>
    <mergeCell ref="M26:AC26"/>
    <mergeCell ref="J17:O17"/>
    <mergeCell ref="K19:P19"/>
    <mergeCell ref="F28:K30"/>
    <mergeCell ref="F32:K32"/>
    <mergeCell ref="F34:K34"/>
    <mergeCell ref="F26:L26"/>
    <mergeCell ref="D17:I17"/>
    <mergeCell ref="D19:J19"/>
    <mergeCell ref="D21:J21"/>
    <mergeCell ref="K21:P21"/>
    <mergeCell ref="E37:I37"/>
    <mergeCell ref="E39:I39"/>
    <mergeCell ref="J39:P39"/>
    <mergeCell ref="Q39:BN39"/>
    <mergeCell ref="Q37:BN37"/>
    <mergeCell ref="J37:P37"/>
    <mergeCell ref="E38:I38"/>
    <mergeCell ref="J38:P38"/>
    <mergeCell ref="Q38:BN38"/>
    <mergeCell ref="AO10:AT10"/>
    <mergeCell ref="AV10:BA11"/>
    <mergeCell ref="BE7:BI7"/>
    <mergeCell ref="AN7:AR7"/>
    <mergeCell ref="BP7:BR7"/>
    <mergeCell ref="BF10:BK10"/>
    <mergeCell ref="BM10:BR11"/>
    <mergeCell ref="W7:AA7"/>
    <mergeCell ref="AC7:AF7"/>
    <mergeCell ref="AH7:AJ7"/>
    <mergeCell ref="X10:AC10"/>
    <mergeCell ref="AE10:AJ11"/>
    <mergeCell ref="BM46:BN46"/>
    <mergeCell ref="BO46:BP46"/>
    <mergeCell ref="BK13:BN13"/>
    <mergeCell ref="BP13:BR13"/>
    <mergeCell ref="BE13:BI13"/>
    <mergeCell ref="BK7:BN7"/>
    <mergeCell ref="BF15:BK15"/>
    <mergeCell ref="BM15:BR16"/>
    <mergeCell ref="M29:AD29"/>
    <mergeCell ref="AT26:BC26"/>
    <mergeCell ref="BN26:BP26"/>
    <mergeCell ref="BH26:BM26"/>
    <mergeCell ref="AT29:BE29"/>
    <mergeCell ref="BG29:BP29"/>
    <mergeCell ref="AJ15:AO15"/>
    <mergeCell ref="AJ17:AO17"/>
    <mergeCell ref="AE21:AG21"/>
    <mergeCell ref="AI21:AL21"/>
    <mergeCell ref="AE23:AJ23"/>
    <mergeCell ref="AC20:AM20"/>
    <mergeCell ref="AN26:AQ26"/>
    <mergeCell ref="AF29:AN29"/>
    <mergeCell ref="AT7:AW7"/>
    <mergeCell ref="AY7:BA7"/>
  </mergeCells>
  <phoneticPr fontId="78" type="noConversion"/>
  <conditionalFormatting sqref="H42:I44 Z41:Z44 H41 AS42:AS44 AR41 AZ42:BA44 AX41 BG42:BH44 BE41">
    <cfRule type="containsText" dxfId="33" priority="2" operator="containsText" text="OK">
      <formula>NOT(ISERROR(SEARCH("OK",H41)))</formula>
    </cfRule>
  </conditionalFormatting>
  <conditionalFormatting sqref="N42:O44 N41">
    <cfRule type="containsText" dxfId="32" priority="3" operator="containsText" text="OK">
      <formula>NOT(ISERROR(SEARCH("OK",N41)))</formula>
    </cfRule>
  </conditionalFormatting>
  <conditionalFormatting sqref="S41:S44">
    <cfRule type="containsText" dxfId="31" priority="4" operator="containsText" text="OK">
      <formula>NOT(ISERROR(SEARCH("OK",S41)))</formula>
    </cfRule>
  </conditionalFormatting>
  <conditionalFormatting sqref="AF41:AF44">
    <cfRule type="containsText" dxfId="30" priority="6" operator="containsText" text="OK">
      <formula>NOT(ISERROR(SEARCH("OK",AF41)))</formula>
    </cfRule>
  </conditionalFormatting>
  <conditionalFormatting sqref="AL41:AL44">
    <cfRule type="containsText" dxfId="29" priority="7" operator="containsText" text="OK">
      <formula>NOT(ISERROR(SEARCH("OK",AL41)))</formula>
    </cfRule>
  </conditionalFormatting>
  <conditionalFormatting sqref="W46:BI48">
    <cfRule type="cellIs" dxfId="28" priority="1" operator="lessThanOrEqual">
      <formula>0</formula>
    </cfRule>
  </conditionalFormatting>
  <dataValidations count="1">
    <dataValidation type="custom" errorStyle="warning" allowBlank="1" showInputMessage="1" showErrorMessage="1" errorTitle="Check Time" error="Check Time AM/PM Value" sqref="K19:P19 K21:P21" xr:uid="{00000000-0002-0000-0000-000000000000}">
      <formula1>TEXT(K19, "AM/PM") = TEXT(NOW(), "AM/PM")</formula1>
    </dataValidation>
  </dataValidations>
  <pageMargins left="0.70866141732283472" right="0.70866141732283472" top="0.74803149606299213" bottom="0.74803149606299213" header="0.31496062992125984" footer="0.31496062992125984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8" r:id="rId4" name="Spinner 34">
              <controlPr defaultSize="0" print="0" autoPict="0">
                <anchor moveWithCells="1" sizeWithCells="1">
                  <from>
                    <xdr:col>43</xdr:col>
                    <xdr:colOff>12700</xdr:colOff>
                    <xdr:row>25</xdr:row>
                    <xdr:rowOff>12700</xdr:rowOff>
                  </from>
                  <to>
                    <xdr:col>43</xdr:col>
                    <xdr:colOff>165100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5" name="Button 41">
              <controlPr defaultSize="0" print="0" autoFill="0" autoPict="0">
                <anchor moveWithCells="1" sizeWithCells="1">
                  <from>
                    <xdr:col>30</xdr:col>
                    <xdr:colOff>38100</xdr:colOff>
                    <xdr:row>22</xdr:row>
                    <xdr:rowOff>88900</xdr:rowOff>
                  </from>
                  <to>
                    <xdr:col>37</xdr:col>
                    <xdr:colOff>76200</xdr:colOff>
                    <xdr:row>23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6" name="Button 35">
              <controlPr defaultSize="0" print="0" autoFill="0" autoPict="0" macro="[0]!PrintOrderandAsPDF" altText="Tare">
                <anchor>
                  <from>
                    <xdr:col>50</xdr:col>
                    <xdr:colOff>19050</xdr:colOff>
                    <xdr:row>23</xdr:row>
                    <xdr:rowOff>19050</xdr:rowOff>
                  </from>
                  <to>
                    <xdr:col>62</xdr:col>
                    <xdr:colOff>19050</xdr:colOff>
                    <xdr:row>24</xdr:row>
                    <xdr:rowOff>146050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000-000004000000}">
          <x14:formula1>
            <xm:f>'Mix Design'!$Z$4:$Z$17</xm:f>
          </x14:formula1>
          <xm:sqref>BG29:BP29</xm:sqref>
        </x14:dataValidation>
        <x14:dataValidation type="list" allowBlank="1" showInputMessage="1" showErrorMessage="1" xr:uid="{00000000-0002-0000-0000-000005000000}">
          <x14:formula1>
            <xm:f>'Mix Design'!$AA$6:$AA$25</xm:f>
          </x14:formula1>
          <xm:sqref>AZ32:BP32</xm:sqref>
        </x14:dataValidation>
        <x14:dataValidation type="list" allowBlank="1" showInputMessage="1" showErrorMessage="1" errorTitle="Wrong Mix Code" error="Select Mix Code from List" xr:uid="{911AF199-CA27-4C45-BA27-3101414DAE85}">
          <x14:formula1>
            <xm:f>'Mix Design'!$B$4:$B$65</xm:f>
          </x14:formula1>
          <xm:sqref>M29:AD29</xm:sqref>
        </x14:dataValidation>
        <x14:dataValidation type="list" allowBlank="1" showInputMessage="1" showErrorMessage="1" xr:uid="{00000000-0002-0000-0000-000002000000}">
          <x14:formula1>
            <xm:f>'Mix Design'!$AC$4:$AC$155</xm:f>
          </x14:formula1>
          <xm:sqref>M26:AC26</xm:sqref>
        </x14:dataValidation>
        <x14:dataValidation type="list" allowBlank="1" showInputMessage="1" showErrorMessage="1" xr:uid="{00000000-0002-0000-0000-000003000000}">
          <x14:formula1>
            <xm:f>'Mix Design'!$AD$4:$AD$98</xm:f>
          </x14:formula1>
          <xm:sqref>M34:AC34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AO190"/>
  <sheetViews>
    <sheetView showGridLines="0" tabSelected="1" zoomScale="99" zoomScaleNormal="99" workbookViewId="0">
      <pane xSplit="2" ySplit="3" topLeftCell="AD4" activePane="bottomRight" state="frozen"/>
      <selection pane="topRight"/>
      <selection pane="bottomLeft"/>
      <selection pane="bottomRight" activeCell="AF9" sqref="AF9"/>
    </sheetView>
  </sheetViews>
  <sheetFormatPr defaultColWidth="9" defaultRowHeight="14.5"/>
  <cols>
    <col min="1" max="1" width="4.26953125" customWidth="1"/>
    <col min="2" max="2" width="27.36328125" customWidth="1"/>
    <col min="3" max="3" width="19.1796875" style="1" customWidth="1"/>
    <col min="4" max="13" width="9.1796875" style="1" customWidth="1"/>
    <col min="14" max="21" width="10" customWidth="1"/>
    <col min="22" max="23" width="5.54296875" style="1" customWidth="1"/>
    <col min="24" max="24" width="32.6328125" customWidth="1"/>
    <col min="26" max="26" width="13.54296875" customWidth="1"/>
    <col min="27" max="27" width="13.81640625" customWidth="1"/>
    <col min="28" max="28" width="5.7265625" customWidth="1"/>
    <col min="29" max="29" width="46.81640625" bestFit="1" customWidth="1"/>
    <col min="30" max="30" width="23.1796875" style="51" bestFit="1" customWidth="1"/>
    <col min="31" max="31" width="9" bestFit="1" customWidth="1"/>
    <col min="32" max="32" width="21" bestFit="1" customWidth="1"/>
    <col min="33" max="33" width="10.453125" bestFit="1" customWidth="1"/>
    <col min="34" max="34" width="18" bestFit="1" customWidth="1"/>
    <col min="35" max="35" width="14.7265625" bestFit="1" customWidth="1"/>
    <col min="36" max="36" width="11" bestFit="1" customWidth="1"/>
    <col min="37" max="37" width="11.453125" customWidth="1"/>
    <col min="38" max="38" width="6.81640625" bestFit="1" customWidth="1"/>
    <col min="39" max="39" width="18.26953125" bestFit="1" customWidth="1"/>
    <col min="40" max="40" width="19.54296875" bestFit="1" customWidth="1"/>
    <col min="41" max="41" width="22.1796875" bestFit="1" customWidth="1"/>
    <col min="42" max="42" width="7.7265625" bestFit="1" customWidth="1"/>
    <col min="43" max="43" width="10.54296875" bestFit="1" customWidth="1"/>
    <col min="44" max="44" width="19" bestFit="1" customWidth="1"/>
    <col min="45" max="45" width="9.81640625" bestFit="1" customWidth="1"/>
    <col min="46" max="46" width="23" bestFit="1" customWidth="1"/>
    <col min="47" max="47" width="11.81640625" bestFit="1" customWidth="1"/>
    <col min="48" max="48" width="5.81640625" bestFit="1" customWidth="1"/>
    <col min="49" max="49" width="7.453125" bestFit="1" customWidth="1"/>
    <col min="50" max="50" width="25.453125" bestFit="1" customWidth="1"/>
    <col min="51" max="51" width="6.7265625" bestFit="1" customWidth="1"/>
    <col min="52" max="52" width="19.1796875" bestFit="1" customWidth="1"/>
    <col min="53" max="53" width="11.1796875" bestFit="1" customWidth="1"/>
    <col min="54" max="54" width="14.453125" bestFit="1" customWidth="1"/>
    <col min="55" max="55" width="14.1796875" bestFit="1" customWidth="1"/>
    <col min="56" max="56" width="9.453125" bestFit="1" customWidth="1"/>
    <col min="57" max="57" width="10.453125" bestFit="1" customWidth="1"/>
    <col min="58" max="58" width="15.26953125" bestFit="1" customWidth="1"/>
    <col min="59" max="59" width="7.7265625" bestFit="1" customWidth="1"/>
    <col min="60" max="60" width="8.7265625" bestFit="1" customWidth="1"/>
    <col min="61" max="61" width="10.7265625" bestFit="1" customWidth="1"/>
    <col min="62" max="62" width="20.81640625" bestFit="1" customWidth="1"/>
    <col min="63" max="63" width="19.26953125" bestFit="1" customWidth="1"/>
    <col min="64" max="64" width="19.1796875" bestFit="1" customWidth="1"/>
    <col min="65" max="65" width="13.1796875" bestFit="1" customWidth="1"/>
    <col min="66" max="66" width="8.81640625" bestFit="1" customWidth="1"/>
    <col min="67" max="67" width="14.7265625" bestFit="1" customWidth="1"/>
    <col min="68" max="68" width="12.54296875" bestFit="1" customWidth="1"/>
    <col min="69" max="69" width="22.54296875" bestFit="1" customWidth="1"/>
    <col min="70" max="70" width="9.1796875" bestFit="1" customWidth="1"/>
    <col min="71" max="71" width="13.54296875" bestFit="1" customWidth="1"/>
    <col min="72" max="72" width="23.453125" bestFit="1" customWidth="1"/>
    <col min="73" max="73" width="14.54296875" bestFit="1" customWidth="1"/>
    <col min="74" max="74" width="10.81640625" bestFit="1" customWidth="1"/>
    <col min="75" max="76" width="10.453125" bestFit="1" customWidth="1"/>
    <col min="77" max="77" width="11" bestFit="1" customWidth="1"/>
    <col min="78" max="78" width="20.453125" bestFit="1" customWidth="1"/>
    <col min="79" max="79" width="6.7265625" bestFit="1" customWidth="1"/>
    <col min="80" max="80" width="10.81640625" bestFit="1" customWidth="1"/>
    <col min="81" max="81" width="24" bestFit="1" customWidth="1"/>
    <col min="82" max="82" width="12.81640625" bestFit="1" customWidth="1"/>
    <col min="83" max="83" width="16" bestFit="1" customWidth="1"/>
    <col min="84" max="84" width="16.1796875" bestFit="1" customWidth="1"/>
    <col min="85" max="85" width="19.26953125" bestFit="1" customWidth="1"/>
    <col min="86" max="86" width="15.81640625" bestFit="1" customWidth="1"/>
    <col min="87" max="87" width="19" bestFit="1" customWidth="1"/>
    <col min="88" max="88" width="10.81640625" bestFit="1" customWidth="1"/>
    <col min="89" max="89" width="14.1796875" bestFit="1" customWidth="1"/>
    <col min="90" max="90" width="11.81640625" bestFit="1" customWidth="1"/>
    <col min="91" max="91" width="15.1796875" bestFit="1" customWidth="1"/>
    <col min="92" max="92" width="16.81640625" bestFit="1" customWidth="1"/>
    <col min="93" max="93" width="20.1796875" bestFit="1" customWidth="1"/>
    <col min="94" max="94" width="9.54296875" bestFit="1" customWidth="1"/>
    <col min="95" max="95" width="12.453125" bestFit="1" customWidth="1"/>
    <col min="96" max="96" width="10.453125" bestFit="1" customWidth="1"/>
    <col min="97" max="97" width="13.54296875" bestFit="1" customWidth="1"/>
    <col min="98" max="98" width="12.1796875" bestFit="1" customWidth="1"/>
    <col min="99" max="99" width="15.54296875" bestFit="1" customWidth="1"/>
    <col min="100" max="100" width="22.1796875" bestFit="1" customWidth="1"/>
    <col min="101" max="101" width="25.81640625" bestFit="1" customWidth="1"/>
    <col min="102" max="102" width="21" bestFit="1" customWidth="1"/>
    <col min="103" max="103" width="24.1796875" bestFit="1" customWidth="1"/>
    <col min="104" max="104" width="20.54296875" bestFit="1" customWidth="1"/>
    <col min="105" max="105" width="24" bestFit="1" customWidth="1"/>
    <col min="106" max="106" width="14.81640625" bestFit="1" customWidth="1"/>
    <col min="107" max="107" width="18" bestFit="1" customWidth="1"/>
    <col min="108" max="108" width="10.453125" bestFit="1" customWidth="1"/>
    <col min="109" max="109" width="13.7265625" bestFit="1" customWidth="1"/>
    <col min="110" max="110" width="16.26953125" bestFit="1" customWidth="1"/>
    <col min="111" max="111" width="19.54296875" bestFit="1" customWidth="1"/>
    <col min="112" max="112" width="14.453125" bestFit="1" customWidth="1"/>
    <col min="113" max="113" width="17.54296875" bestFit="1" customWidth="1"/>
    <col min="114" max="114" width="24" bestFit="1" customWidth="1"/>
    <col min="115" max="115" width="27.453125" bestFit="1" customWidth="1"/>
    <col min="116" max="116" width="10.81640625" bestFit="1" customWidth="1"/>
    <col min="117" max="117" width="14" bestFit="1" customWidth="1"/>
    <col min="118" max="118" width="15.1796875" bestFit="1" customWidth="1"/>
    <col min="119" max="119" width="18.453125" bestFit="1" customWidth="1"/>
    <col min="120" max="120" width="24.81640625" bestFit="1" customWidth="1"/>
    <col min="121" max="121" width="28.1796875" bestFit="1" customWidth="1"/>
    <col min="122" max="122" width="15.81640625" bestFit="1" customWidth="1"/>
    <col min="123" max="123" width="19.453125" bestFit="1" customWidth="1"/>
    <col min="124" max="124" width="12.453125" bestFit="1" customWidth="1"/>
    <col min="125" max="125" width="15.7265625" bestFit="1" customWidth="1"/>
    <col min="126" max="126" width="12" bestFit="1" customWidth="1"/>
    <col min="127" max="127" width="15.1796875" bestFit="1" customWidth="1"/>
    <col min="128" max="128" width="11.81640625" bestFit="1" customWidth="1"/>
    <col min="129" max="129" width="15.1796875" bestFit="1" customWidth="1"/>
    <col min="130" max="130" width="12.54296875" bestFit="1" customWidth="1"/>
    <col min="131" max="131" width="15.81640625" bestFit="1" customWidth="1"/>
    <col min="132" max="132" width="21.81640625" bestFit="1" customWidth="1"/>
    <col min="133" max="133" width="25.453125" bestFit="1" customWidth="1"/>
    <col min="134" max="134" width="8.54296875" bestFit="1" customWidth="1"/>
    <col min="135" max="135" width="11.453125" bestFit="1" customWidth="1"/>
    <col min="136" max="136" width="10.81640625" bestFit="1" customWidth="1"/>
  </cols>
  <sheetData>
    <row r="1" spans="2:37">
      <c r="AC1" s="56"/>
      <c r="AD1" s="120"/>
    </row>
    <row r="2" spans="2:37" ht="16.5">
      <c r="N2" s="273" t="s">
        <v>15</v>
      </c>
      <c r="O2" s="274"/>
      <c r="P2" s="274"/>
      <c r="Q2" s="275"/>
      <c r="R2" s="273" t="s">
        <v>16</v>
      </c>
      <c r="S2" s="274"/>
      <c r="T2" s="274"/>
      <c r="U2" s="275"/>
      <c r="V2" s="276" t="s">
        <v>206</v>
      </c>
      <c r="W2" s="277"/>
      <c r="AC2" s="56"/>
      <c r="AD2" s="120"/>
    </row>
    <row r="3" spans="2:37" ht="16">
      <c r="B3" s="178" t="s">
        <v>14</v>
      </c>
      <c r="C3" s="179" t="s">
        <v>50</v>
      </c>
      <c r="D3" s="179" t="s">
        <v>51</v>
      </c>
      <c r="E3" s="179" t="s">
        <v>52</v>
      </c>
      <c r="F3" s="179" t="s">
        <v>53</v>
      </c>
      <c r="G3" s="179" t="s">
        <v>54</v>
      </c>
      <c r="H3" s="179" t="s">
        <v>55</v>
      </c>
      <c r="I3" s="179" t="s">
        <v>56</v>
      </c>
      <c r="J3" s="179" t="s">
        <v>57</v>
      </c>
      <c r="K3" s="179" t="s">
        <v>58</v>
      </c>
      <c r="L3" s="180" t="s">
        <v>73</v>
      </c>
      <c r="M3" s="179" t="s">
        <v>59</v>
      </c>
      <c r="N3" s="185" t="s">
        <v>60</v>
      </c>
      <c r="O3" s="185" t="s">
        <v>61</v>
      </c>
      <c r="P3" s="185" t="s">
        <v>62</v>
      </c>
      <c r="Q3" s="185" t="s">
        <v>63</v>
      </c>
      <c r="R3" s="186" t="s">
        <v>64</v>
      </c>
      <c r="S3" s="186" t="s">
        <v>65</v>
      </c>
      <c r="T3" s="186" t="s">
        <v>66</v>
      </c>
      <c r="U3" s="186" t="s">
        <v>67</v>
      </c>
      <c r="V3" s="181" t="s">
        <v>204</v>
      </c>
      <c r="W3" s="181" t="s">
        <v>205</v>
      </c>
      <c r="X3" s="187" t="s">
        <v>418</v>
      </c>
      <c r="Z3" s="47" t="s">
        <v>17</v>
      </c>
      <c r="AA3" s="47" t="s">
        <v>93</v>
      </c>
      <c r="AC3" s="47" t="s">
        <v>110</v>
      </c>
      <c r="AD3" s="53" t="s">
        <v>7</v>
      </c>
    </row>
    <row r="4" spans="2:37" ht="16.5">
      <c r="B4" s="182" t="s">
        <v>130</v>
      </c>
      <c r="C4" s="183"/>
      <c r="D4" s="183">
        <v>834</v>
      </c>
      <c r="E4" s="183">
        <v>502</v>
      </c>
      <c r="F4" s="183">
        <v>752</v>
      </c>
      <c r="G4" s="183"/>
      <c r="H4" s="183"/>
      <c r="I4" s="183">
        <v>170</v>
      </c>
      <c r="J4" s="183">
        <v>60</v>
      </c>
      <c r="K4" s="183">
        <v>1.5</v>
      </c>
      <c r="L4" s="183">
        <v>0</v>
      </c>
      <c r="M4" s="183">
        <v>151</v>
      </c>
      <c r="N4" s="184">
        <v>0</v>
      </c>
      <c r="O4" s="184">
        <v>2</v>
      </c>
      <c r="P4" s="184">
        <v>1</v>
      </c>
      <c r="Q4" s="184">
        <v>1</v>
      </c>
      <c r="R4" s="184">
        <v>0</v>
      </c>
      <c r="S4" s="184">
        <v>4.5</v>
      </c>
      <c r="T4" s="184">
        <v>0</v>
      </c>
      <c r="U4" s="184">
        <v>0</v>
      </c>
      <c r="V4" s="183">
        <v>-2</v>
      </c>
      <c r="W4" s="183">
        <v>4</v>
      </c>
      <c r="X4" s="182" t="str">
        <f>Table24[[#This Row],[Raw Material]]</f>
        <v>M 7.5 A</v>
      </c>
      <c r="AC4" s="168" t="s">
        <v>378</v>
      </c>
      <c r="AD4" s="173" t="s">
        <v>399</v>
      </c>
      <c r="AE4" s="48"/>
      <c r="AF4" s="278" t="s">
        <v>393</v>
      </c>
      <c r="AG4" s="278"/>
      <c r="AH4" s="278"/>
      <c r="AI4" s="278"/>
      <c r="AK4" s="126"/>
    </row>
    <row r="5" spans="2:37" ht="16.5" hidden="1">
      <c r="B5" s="182"/>
      <c r="C5" s="183"/>
      <c r="D5" s="183"/>
      <c r="E5" s="183"/>
      <c r="F5" s="183"/>
      <c r="G5" s="183"/>
      <c r="H5" s="183"/>
      <c r="I5" s="183"/>
      <c r="J5" s="183"/>
      <c r="K5" s="183"/>
      <c r="L5" s="183"/>
      <c r="M5" s="183"/>
      <c r="N5" s="184"/>
      <c r="O5" s="184"/>
      <c r="P5" s="184"/>
      <c r="Q5" s="184"/>
      <c r="R5" s="184"/>
      <c r="S5" s="184"/>
      <c r="T5" s="184"/>
      <c r="U5" s="184"/>
      <c r="V5" s="183"/>
      <c r="W5" s="183"/>
      <c r="X5" s="182">
        <f>Table24[[#This Row],[Raw Material]]</f>
        <v>0</v>
      </c>
      <c r="AC5" s="125"/>
      <c r="AD5" s="52"/>
      <c r="AE5" s="48"/>
      <c r="AF5" s="139"/>
      <c r="AG5" s="139"/>
      <c r="AH5" s="139"/>
      <c r="AI5" s="139"/>
      <c r="AK5" s="126"/>
    </row>
    <row r="6" spans="2:37" ht="16.5">
      <c r="B6" s="182" t="s">
        <v>74</v>
      </c>
      <c r="C6" s="183"/>
      <c r="D6" s="183">
        <v>838</v>
      </c>
      <c r="E6" s="183">
        <v>483</v>
      </c>
      <c r="F6" s="183">
        <v>725</v>
      </c>
      <c r="G6" s="183"/>
      <c r="H6" s="183">
        <v>230</v>
      </c>
      <c r="I6" s="183">
        <v>0</v>
      </c>
      <c r="J6" s="183">
        <v>0</v>
      </c>
      <c r="K6" s="183">
        <v>1.6</v>
      </c>
      <c r="L6" s="183">
        <v>0</v>
      </c>
      <c r="M6" s="183">
        <v>156</v>
      </c>
      <c r="N6" s="184"/>
      <c r="O6" s="184">
        <v>2</v>
      </c>
      <c r="P6" s="184">
        <v>1</v>
      </c>
      <c r="Q6" s="184">
        <v>1</v>
      </c>
      <c r="R6" s="184"/>
      <c r="S6" s="184">
        <v>4.5</v>
      </c>
      <c r="T6" s="184"/>
      <c r="U6" s="184"/>
      <c r="V6" s="183">
        <v>-2</v>
      </c>
      <c r="W6" s="183">
        <v>4</v>
      </c>
      <c r="X6" s="182" t="str">
        <f>Table24[[#This Row],[Raw Material]]</f>
        <v>M 10 A</v>
      </c>
      <c r="Z6" s="125" t="s">
        <v>18</v>
      </c>
      <c r="AA6" s="127" t="s">
        <v>395</v>
      </c>
      <c r="AC6" s="169" t="s">
        <v>379</v>
      </c>
      <c r="AD6" s="52" t="s">
        <v>380</v>
      </c>
      <c r="AE6" s="48"/>
      <c r="AF6" s="48"/>
    </row>
    <row r="7" spans="2:37" ht="16.5">
      <c r="B7" s="182" t="s">
        <v>254</v>
      </c>
      <c r="C7" s="183"/>
      <c r="D7" s="183">
        <v>850</v>
      </c>
      <c r="E7" s="183">
        <v>504</v>
      </c>
      <c r="F7" s="183">
        <v>757</v>
      </c>
      <c r="G7" s="183"/>
      <c r="H7" s="183">
        <v>180</v>
      </c>
      <c r="I7" s="183">
        <v>0</v>
      </c>
      <c r="J7" s="183">
        <v>60</v>
      </c>
      <c r="K7" s="183">
        <v>1.6</v>
      </c>
      <c r="L7" s="183">
        <v>0</v>
      </c>
      <c r="M7" s="183">
        <v>152</v>
      </c>
      <c r="N7" s="184"/>
      <c r="O7" s="184">
        <v>2</v>
      </c>
      <c r="P7" s="184">
        <v>1</v>
      </c>
      <c r="Q7" s="184">
        <v>1</v>
      </c>
      <c r="R7" s="184"/>
      <c r="S7" s="184">
        <v>4</v>
      </c>
      <c r="T7" s="184"/>
      <c r="U7" s="184"/>
      <c r="V7" s="183"/>
      <c r="W7" s="183"/>
      <c r="X7" s="182" t="str">
        <f>Table24[[#This Row],[Raw Material]]</f>
        <v>M 10 B</v>
      </c>
      <c r="Z7" s="137" t="s">
        <v>182</v>
      </c>
      <c r="AA7" s="125" t="s">
        <v>389</v>
      </c>
      <c r="AC7" s="125" t="s">
        <v>359</v>
      </c>
      <c r="AD7" s="52" t="s">
        <v>262</v>
      </c>
      <c r="AE7" s="48"/>
      <c r="AF7" s="48"/>
    </row>
    <row r="8" spans="2:37" ht="16.5">
      <c r="B8" s="182" t="s">
        <v>75</v>
      </c>
      <c r="C8" s="183"/>
      <c r="D8" s="183">
        <v>818</v>
      </c>
      <c r="E8" s="183">
        <v>479</v>
      </c>
      <c r="F8" s="183">
        <v>765</v>
      </c>
      <c r="G8" s="183"/>
      <c r="H8" s="183">
        <v>0</v>
      </c>
      <c r="I8" s="183">
        <v>200</v>
      </c>
      <c r="J8" s="183">
        <v>80</v>
      </c>
      <c r="K8" s="183">
        <v>1.7</v>
      </c>
      <c r="L8" s="183">
        <v>0</v>
      </c>
      <c r="M8" s="183">
        <v>148</v>
      </c>
      <c r="N8" s="184"/>
      <c r="O8" s="184">
        <v>2</v>
      </c>
      <c r="P8" s="184">
        <v>1</v>
      </c>
      <c r="Q8" s="184">
        <v>1</v>
      </c>
      <c r="R8" s="184"/>
      <c r="S8" s="184">
        <v>4.5</v>
      </c>
      <c r="T8" s="184"/>
      <c r="U8" s="184"/>
      <c r="V8" s="183">
        <v>-2</v>
      </c>
      <c r="W8" s="183">
        <v>4</v>
      </c>
      <c r="X8" s="182" t="str">
        <f>Table24[[#This Row],[Raw Material]]</f>
        <v>M 15 A</v>
      </c>
      <c r="Z8" s="125" t="s">
        <v>19</v>
      </c>
      <c r="AA8" s="125" t="s">
        <v>363</v>
      </c>
      <c r="AC8" s="52" t="s">
        <v>365</v>
      </c>
      <c r="AD8" s="48" t="s">
        <v>364</v>
      </c>
      <c r="AE8" s="48"/>
    </row>
    <row r="9" spans="2:37" ht="16.5">
      <c r="B9" s="182" t="s">
        <v>76</v>
      </c>
      <c r="C9" s="183"/>
      <c r="D9" s="183">
        <v>821</v>
      </c>
      <c r="E9" s="183">
        <v>463</v>
      </c>
      <c r="F9" s="183">
        <v>755</v>
      </c>
      <c r="G9" s="183"/>
      <c r="H9" s="183">
        <v>190</v>
      </c>
      <c r="I9" s="183">
        <v>90</v>
      </c>
      <c r="J9" s="183">
        <v>0</v>
      </c>
      <c r="K9" s="183">
        <v>1.8</v>
      </c>
      <c r="L9" s="183">
        <v>0</v>
      </c>
      <c r="M9" s="183">
        <v>154</v>
      </c>
      <c r="N9" s="184"/>
      <c r="O9" s="184">
        <v>2</v>
      </c>
      <c r="P9" s="184">
        <v>1</v>
      </c>
      <c r="Q9" s="184">
        <v>1</v>
      </c>
      <c r="R9" s="184"/>
      <c r="S9" s="184">
        <v>4.5</v>
      </c>
      <c r="T9" s="184"/>
      <c r="U9" s="184"/>
      <c r="V9" s="183">
        <v>-2</v>
      </c>
      <c r="W9" s="183">
        <v>4</v>
      </c>
      <c r="X9" s="182" t="str">
        <f>Table24[[#This Row],[Raw Material]]</f>
        <v>M 15 B</v>
      </c>
      <c r="Z9" s="125" t="s">
        <v>20</v>
      </c>
      <c r="AA9" s="125" t="s">
        <v>397</v>
      </c>
      <c r="AC9" s="125" t="s">
        <v>354</v>
      </c>
      <c r="AD9" s="52" t="s">
        <v>381</v>
      </c>
      <c r="AE9" s="48"/>
      <c r="AF9" s="48"/>
    </row>
    <row r="10" spans="2:37" ht="16.5">
      <c r="B10" s="182" t="s">
        <v>77</v>
      </c>
      <c r="C10" s="183"/>
      <c r="D10" s="183">
        <v>818</v>
      </c>
      <c r="E10" s="183">
        <v>479</v>
      </c>
      <c r="F10" s="183">
        <v>765</v>
      </c>
      <c r="G10" s="183"/>
      <c r="H10" s="183">
        <v>200</v>
      </c>
      <c r="I10" s="183">
        <v>0</v>
      </c>
      <c r="J10" s="183">
        <v>80</v>
      </c>
      <c r="K10" s="183">
        <v>1.7</v>
      </c>
      <c r="L10" s="183">
        <v>0</v>
      </c>
      <c r="M10" s="183">
        <v>148</v>
      </c>
      <c r="N10" s="184"/>
      <c r="O10" s="184">
        <v>2</v>
      </c>
      <c r="P10" s="184">
        <v>1</v>
      </c>
      <c r="Q10" s="184">
        <v>1</v>
      </c>
      <c r="R10" s="184"/>
      <c r="S10" s="184">
        <v>4.5</v>
      </c>
      <c r="T10" s="184"/>
      <c r="U10" s="184"/>
      <c r="V10" s="183">
        <v>-2</v>
      </c>
      <c r="W10" s="183">
        <v>4</v>
      </c>
      <c r="X10" s="182" t="str">
        <f>Table24[[#This Row],[Raw Material]]</f>
        <v>M 15 C</v>
      </c>
      <c r="Z10" s="125" t="s">
        <v>21</v>
      </c>
      <c r="AA10" s="125" t="s">
        <v>368</v>
      </c>
      <c r="AC10" s="52" t="s">
        <v>325</v>
      </c>
      <c r="AD10" s="52" t="s">
        <v>371</v>
      </c>
      <c r="AE10" s="48"/>
    </row>
    <row r="11" spans="2:37" ht="16.5">
      <c r="B11" s="182" t="s">
        <v>131</v>
      </c>
      <c r="C11" s="183"/>
      <c r="D11" s="183">
        <v>835</v>
      </c>
      <c r="E11" s="183">
        <v>1185</v>
      </c>
      <c r="F11" s="183">
        <v>0</v>
      </c>
      <c r="G11" s="183"/>
      <c r="H11" s="183">
        <v>220</v>
      </c>
      <c r="I11" s="183">
        <v>0</v>
      </c>
      <c r="J11" s="183">
        <v>80</v>
      </c>
      <c r="K11" s="183">
        <v>1.9</v>
      </c>
      <c r="L11" s="183">
        <v>0</v>
      </c>
      <c r="M11" s="183">
        <v>150</v>
      </c>
      <c r="N11" s="184"/>
      <c r="O11" s="184">
        <v>2</v>
      </c>
      <c r="P11" s="184">
        <v>1</v>
      </c>
      <c r="Q11" s="184">
        <v>1</v>
      </c>
      <c r="R11" s="184"/>
      <c r="S11" s="184">
        <v>4.5</v>
      </c>
      <c r="T11" s="184"/>
      <c r="U11" s="184"/>
      <c r="V11" s="183">
        <v>-2</v>
      </c>
      <c r="W11" s="183">
        <v>4</v>
      </c>
      <c r="X11" s="182" t="str">
        <f>Table24[[#This Row],[Raw Material]]</f>
        <v>M 15 Screed</v>
      </c>
      <c r="Z11" s="125" t="s">
        <v>137</v>
      </c>
      <c r="AA11" s="125" t="s">
        <v>343</v>
      </c>
      <c r="AC11" s="125" t="s">
        <v>375</v>
      </c>
      <c r="AD11" s="52" t="s">
        <v>376</v>
      </c>
      <c r="AE11" s="48"/>
      <c r="AF11" s="48"/>
    </row>
    <row r="12" spans="2:37" ht="16.5">
      <c r="B12" s="182" t="s">
        <v>340</v>
      </c>
      <c r="C12" s="183"/>
      <c r="D12" s="183">
        <v>796</v>
      </c>
      <c r="E12" s="183">
        <v>430</v>
      </c>
      <c r="F12" s="183">
        <v>768</v>
      </c>
      <c r="G12" s="183"/>
      <c r="H12" s="183">
        <v>0</v>
      </c>
      <c r="I12" s="183">
        <v>250</v>
      </c>
      <c r="J12" s="183">
        <v>70</v>
      </c>
      <c r="K12" s="183">
        <v>1.9</v>
      </c>
      <c r="L12" s="183">
        <v>0</v>
      </c>
      <c r="M12" s="183">
        <v>150</v>
      </c>
      <c r="N12" s="184"/>
      <c r="O12" s="184">
        <v>2</v>
      </c>
      <c r="P12" s="184">
        <v>1</v>
      </c>
      <c r="Q12" s="184">
        <v>1</v>
      </c>
      <c r="R12" s="184"/>
      <c r="S12" s="184">
        <v>5</v>
      </c>
      <c r="T12" s="184"/>
      <c r="U12" s="184"/>
      <c r="V12" s="183">
        <v>-2</v>
      </c>
      <c r="W12" s="183">
        <v>4</v>
      </c>
      <c r="X12" s="182" t="str">
        <f>Table24[[#This Row],[Raw Material]]</f>
        <v>M 20 A</v>
      </c>
      <c r="Z12" s="125" t="s">
        <v>13</v>
      </c>
      <c r="AA12" s="125" t="s">
        <v>397</v>
      </c>
      <c r="AC12" s="170" t="s">
        <v>333</v>
      </c>
      <c r="AD12" s="52" t="s">
        <v>194</v>
      </c>
      <c r="AE12" s="48"/>
      <c r="AF12" s="48"/>
    </row>
    <row r="13" spans="2:37" ht="16.5">
      <c r="B13" s="182" t="s">
        <v>326</v>
      </c>
      <c r="C13" s="183"/>
      <c r="D13" s="183">
        <v>796</v>
      </c>
      <c r="E13" s="183">
        <v>442</v>
      </c>
      <c r="F13" s="183">
        <v>752</v>
      </c>
      <c r="G13" s="183"/>
      <c r="H13" s="183">
        <v>0</v>
      </c>
      <c r="I13" s="183">
        <v>240</v>
      </c>
      <c r="J13" s="183">
        <v>80</v>
      </c>
      <c r="K13" s="183">
        <v>1.8</v>
      </c>
      <c r="L13" s="183">
        <v>0</v>
      </c>
      <c r="M13" s="183">
        <v>150</v>
      </c>
      <c r="N13" s="184"/>
      <c r="O13" s="184">
        <v>2</v>
      </c>
      <c r="P13" s="184">
        <v>1</v>
      </c>
      <c r="Q13" s="184">
        <v>1</v>
      </c>
      <c r="R13" s="184"/>
      <c r="S13" s="184">
        <v>6.2</v>
      </c>
      <c r="T13" s="184"/>
      <c r="U13" s="184"/>
      <c r="V13" s="183">
        <v>-2</v>
      </c>
      <c r="W13" s="183">
        <v>4</v>
      </c>
      <c r="X13" s="182" t="str">
        <f>Table24[[#This Row],[Raw Material]]</f>
        <v>M 20 B</v>
      </c>
      <c r="Z13" s="167" t="s">
        <v>377</v>
      </c>
      <c r="AA13" s="125" t="s">
        <v>333</v>
      </c>
      <c r="AB13" s="125"/>
      <c r="AC13" s="52" t="s">
        <v>234</v>
      </c>
      <c r="AD13" s="48" t="s">
        <v>369</v>
      </c>
      <c r="AE13" s="48"/>
    </row>
    <row r="14" spans="2:37" ht="16.5">
      <c r="B14" s="182" t="s">
        <v>78</v>
      </c>
      <c r="C14" s="183"/>
      <c r="D14" s="183">
        <v>778</v>
      </c>
      <c r="E14" s="183">
        <v>482</v>
      </c>
      <c r="F14" s="183">
        <v>722</v>
      </c>
      <c r="G14" s="183"/>
      <c r="H14" s="183">
        <v>0</v>
      </c>
      <c r="I14" s="183">
        <v>240</v>
      </c>
      <c r="J14" s="183">
        <v>80</v>
      </c>
      <c r="K14" s="183">
        <v>1.9</v>
      </c>
      <c r="L14" s="183">
        <v>0</v>
      </c>
      <c r="M14" s="183">
        <v>150</v>
      </c>
      <c r="N14" s="184"/>
      <c r="O14" s="184">
        <v>2</v>
      </c>
      <c r="P14" s="184">
        <v>1</v>
      </c>
      <c r="Q14" s="184">
        <v>1</v>
      </c>
      <c r="R14" s="184"/>
      <c r="S14" s="184">
        <v>4.5</v>
      </c>
      <c r="T14" s="184"/>
      <c r="U14" s="184"/>
      <c r="V14" s="183">
        <v>-2</v>
      </c>
      <c r="W14" s="183">
        <v>4</v>
      </c>
      <c r="X14" s="182" t="str">
        <f>Table24[[#This Row],[Raw Material]]</f>
        <v>M 20 C</v>
      </c>
      <c r="Z14" s="125" t="s">
        <v>349</v>
      </c>
      <c r="AA14" s="125" t="s">
        <v>350</v>
      </c>
      <c r="AB14" s="125"/>
      <c r="AC14" s="48" t="s">
        <v>310</v>
      </c>
      <c r="AD14" s="52" t="s">
        <v>360</v>
      </c>
    </row>
    <row r="15" spans="2:37" ht="16.5">
      <c r="B15" s="182" t="s">
        <v>79</v>
      </c>
      <c r="C15" s="183"/>
      <c r="D15" s="183">
        <v>789</v>
      </c>
      <c r="E15" s="183">
        <v>443</v>
      </c>
      <c r="F15" s="183">
        <v>755</v>
      </c>
      <c r="G15" s="183"/>
      <c r="H15" s="183">
        <v>240</v>
      </c>
      <c r="I15" s="183">
        <v>0</v>
      </c>
      <c r="J15" s="183">
        <v>80</v>
      </c>
      <c r="K15" s="183">
        <v>2</v>
      </c>
      <c r="L15" s="183">
        <v>0</v>
      </c>
      <c r="M15" s="183">
        <v>148</v>
      </c>
      <c r="N15" s="184"/>
      <c r="O15" s="184">
        <v>2</v>
      </c>
      <c r="P15" s="184">
        <v>1</v>
      </c>
      <c r="Q15" s="184">
        <v>1</v>
      </c>
      <c r="R15" s="184"/>
      <c r="S15" s="184">
        <v>4.5</v>
      </c>
      <c r="T15" s="184"/>
      <c r="U15" s="184"/>
      <c r="V15" s="183">
        <v>-2</v>
      </c>
      <c r="W15" s="183">
        <v>4</v>
      </c>
      <c r="X15" s="182" t="str">
        <f>Table24[[#This Row],[Raw Material]]</f>
        <v>M 20 D</v>
      </c>
      <c r="Z15" s="125" t="s">
        <v>351</v>
      </c>
      <c r="AA15" s="125" t="s">
        <v>352</v>
      </c>
      <c r="AB15" s="52"/>
      <c r="AC15" s="48" t="s">
        <v>267</v>
      </c>
      <c r="AD15" s="48" t="s">
        <v>269</v>
      </c>
    </row>
    <row r="16" spans="2:37" ht="16.5">
      <c r="B16" s="182" t="s">
        <v>80</v>
      </c>
      <c r="C16" s="183"/>
      <c r="D16" s="183">
        <v>780</v>
      </c>
      <c r="E16" s="183">
        <v>452</v>
      </c>
      <c r="F16" s="183">
        <v>766</v>
      </c>
      <c r="G16" s="183"/>
      <c r="H16" s="183">
        <v>220</v>
      </c>
      <c r="I16" s="183">
        <v>0</v>
      </c>
      <c r="J16" s="183">
        <v>100</v>
      </c>
      <c r="K16" s="183">
        <v>1.8</v>
      </c>
      <c r="L16" s="183">
        <v>0</v>
      </c>
      <c r="M16" s="183">
        <v>146</v>
      </c>
      <c r="N16" s="184"/>
      <c r="O16" s="184">
        <v>2</v>
      </c>
      <c r="P16" s="184">
        <v>1</v>
      </c>
      <c r="Q16" s="184">
        <v>1</v>
      </c>
      <c r="R16" s="184"/>
      <c r="S16" s="184">
        <v>4.5</v>
      </c>
      <c r="T16" s="184"/>
      <c r="U16" s="184"/>
      <c r="V16" s="183">
        <v>-2</v>
      </c>
      <c r="W16" s="183">
        <v>4</v>
      </c>
      <c r="X16" s="182" t="str">
        <f>Table24[[#This Row],[Raw Material]]</f>
        <v>M 20 E</v>
      </c>
      <c r="Z16" s="172" t="s">
        <v>398</v>
      </c>
      <c r="AA16" s="125" t="s">
        <v>333</v>
      </c>
      <c r="AB16" s="125"/>
      <c r="AC16" s="52" t="s">
        <v>386</v>
      </c>
      <c r="AD16" s="48" t="s">
        <v>387</v>
      </c>
      <c r="AE16" s="48"/>
    </row>
    <row r="17" spans="2:32" ht="16.5">
      <c r="B17" s="182" t="s">
        <v>132</v>
      </c>
      <c r="C17" s="183"/>
      <c r="D17" s="183">
        <v>830</v>
      </c>
      <c r="E17" s="183">
        <v>1180</v>
      </c>
      <c r="F17" s="183">
        <v>0</v>
      </c>
      <c r="G17" s="183"/>
      <c r="H17" s="183">
        <v>250</v>
      </c>
      <c r="I17" s="183">
        <v>0</v>
      </c>
      <c r="J17" s="183">
        <v>80</v>
      </c>
      <c r="K17" s="183">
        <v>1.8</v>
      </c>
      <c r="L17" s="183">
        <v>0</v>
      </c>
      <c r="M17" s="183">
        <v>148</v>
      </c>
      <c r="N17" s="184"/>
      <c r="O17" s="184">
        <v>2</v>
      </c>
      <c r="P17" s="184">
        <v>1</v>
      </c>
      <c r="Q17" s="184">
        <v>1</v>
      </c>
      <c r="R17" s="184"/>
      <c r="S17" s="184">
        <v>4.5</v>
      </c>
      <c r="T17" s="184"/>
      <c r="U17" s="184"/>
      <c r="V17" s="183">
        <v>-2</v>
      </c>
      <c r="W17" s="183">
        <v>4</v>
      </c>
      <c r="X17" s="182" t="str">
        <f>Table24[[#This Row],[Raw Material]]</f>
        <v>M 20 Screed</v>
      </c>
      <c r="AA17" s="134"/>
      <c r="AC17" s="157" t="s">
        <v>337</v>
      </c>
      <c r="AD17" s="52" t="s">
        <v>179</v>
      </c>
      <c r="AE17" s="48"/>
      <c r="AF17" s="48"/>
    </row>
    <row r="18" spans="2:32" ht="16.5">
      <c r="B18" s="182" t="s">
        <v>374</v>
      </c>
      <c r="C18" s="183"/>
      <c r="D18" s="183">
        <v>773</v>
      </c>
      <c r="E18" s="183">
        <v>478</v>
      </c>
      <c r="F18" s="183">
        <v>717</v>
      </c>
      <c r="G18" s="183"/>
      <c r="H18" s="183">
        <v>350</v>
      </c>
      <c r="I18" s="183">
        <v>0</v>
      </c>
      <c r="J18" s="183">
        <v>0</v>
      </c>
      <c r="K18" s="183">
        <v>2.6</v>
      </c>
      <c r="L18" s="183">
        <v>0</v>
      </c>
      <c r="M18" s="183">
        <v>154</v>
      </c>
      <c r="N18" s="184"/>
      <c r="O18" s="184">
        <v>2</v>
      </c>
      <c r="P18" s="184">
        <v>1</v>
      </c>
      <c r="Q18" s="184">
        <v>1</v>
      </c>
      <c r="R18" s="184"/>
      <c r="S18" s="184">
        <v>5</v>
      </c>
      <c r="T18" s="184"/>
      <c r="U18" s="184"/>
      <c r="V18" s="183">
        <v>-2</v>
      </c>
      <c r="W18" s="183">
        <v>4</v>
      </c>
      <c r="X18" s="182" t="str">
        <f>Table24[[#This Row],[Raw Material]]</f>
        <v>M 25 PILE</v>
      </c>
      <c r="AA18" s="128"/>
      <c r="AC18" s="48" t="s">
        <v>394</v>
      </c>
      <c r="AD18" s="52" t="s">
        <v>266</v>
      </c>
      <c r="AE18" s="48"/>
      <c r="AF18" s="48"/>
    </row>
    <row r="19" spans="2:32" ht="16.5" hidden="1">
      <c r="B19" s="182"/>
      <c r="C19" s="183"/>
      <c r="D19" s="183"/>
      <c r="E19" s="183"/>
      <c r="F19" s="183"/>
      <c r="G19" s="183"/>
      <c r="H19" s="183"/>
      <c r="I19" s="183"/>
      <c r="J19" s="183"/>
      <c r="K19" s="183"/>
      <c r="L19" s="183"/>
      <c r="M19" s="183"/>
      <c r="N19" s="184"/>
      <c r="O19" s="184"/>
      <c r="P19" s="184"/>
      <c r="Q19" s="184"/>
      <c r="R19" s="184"/>
      <c r="S19" s="184"/>
      <c r="T19" s="184"/>
      <c r="U19" s="184"/>
      <c r="V19" s="183"/>
      <c r="W19" s="183"/>
      <c r="X19" s="182">
        <f>Table24[[#This Row],[Raw Material]]</f>
        <v>0</v>
      </c>
      <c r="AA19" s="128"/>
      <c r="AC19" s="48"/>
      <c r="AD19" s="52"/>
      <c r="AE19" s="48"/>
      <c r="AF19" s="48"/>
    </row>
    <row r="20" spans="2:32" ht="16.5">
      <c r="B20" s="182" t="s">
        <v>233</v>
      </c>
      <c r="C20" s="183"/>
      <c r="D20" s="183">
        <v>792</v>
      </c>
      <c r="E20" s="183">
        <v>432</v>
      </c>
      <c r="F20" s="183">
        <v>756</v>
      </c>
      <c r="G20" s="183"/>
      <c r="H20" s="183">
        <v>0</v>
      </c>
      <c r="I20" s="183">
        <v>270</v>
      </c>
      <c r="J20" s="183">
        <v>80</v>
      </c>
      <c r="K20" s="183">
        <v>2.2000000000000002</v>
      </c>
      <c r="L20" s="183">
        <v>0</v>
      </c>
      <c r="M20" s="183">
        <v>150</v>
      </c>
      <c r="N20" s="184"/>
      <c r="O20" s="184">
        <v>2</v>
      </c>
      <c r="P20" s="184">
        <v>1</v>
      </c>
      <c r="Q20" s="184">
        <v>1</v>
      </c>
      <c r="R20" s="184"/>
      <c r="S20" s="184">
        <v>6.5</v>
      </c>
      <c r="T20" s="184"/>
      <c r="U20" s="184"/>
      <c r="V20" s="183">
        <v>-3</v>
      </c>
      <c r="W20" s="183">
        <v>3</v>
      </c>
      <c r="X20" s="182" t="str">
        <f>Table24[[#This Row],[Raw Material]]</f>
        <v>M 25 B</v>
      </c>
      <c r="AA20" s="131"/>
      <c r="AC20" s="125" t="s">
        <v>402</v>
      </c>
      <c r="AD20" s="52" t="s">
        <v>203</v>
      </c>
      <c r="AE20" s="48"/>
      <c r="AF20" s="48"/>
    </row>
    <row r="21" spans="2:32" ht="16.5">
      <c r="B21" s="182" t="s">
        <v>256</v>
      </c>
      <c r="C21" s="183"/>
      <c r="D21" s="183">
        <v>807</v>
      </c>
      <c r="E21" s="183">
        <v>473</v>
      </c>
      <c r="F21" s="183">
        <v>712</v>
      </c>
      <c r="G21" s="183"/>
      <c r="H21" s="183">
        <v>340</v>
      </c>
      <c r="I21" s="183">
        <v>0</v>
      </c>
      <c r="J21" s="183">
        <v>0</v>
      </c>
      <c r="K21" s="183">
        <v>2.1</v>
      </c>
      <c r="L21" s="183">
        <v>0</v>
      </c>
      <c r="M21" s="183">
        <v>156</v>
      </c>
      <c r="N21" s="184"/>
      <c r="O21" s="184">
        <v>2</v>
      </c>
      <c r="P21" s="184">
        <v>1</v>
      </c>
      <c r="Q21" s="184">
        <v>1</v>
      </c>
      <c r="R21" s="184"/>
      <c r="S21" s="184">
        <v>4.5</v>
      </c>
      <c r="T21" s="184"/>
      <c r="U21" s="184"/>
      <c r="V21" s="183"/>
      <c r="W21" s="183"/>
      <c r="X21" s="182" t="str">
        <f>Table24[[#This Row],[Raw Material]]</f>
        <v>M25 C</v>
      </c>
      <c r="AA21" s="131"/>
      <c r="AC21" s="158" t="s">
        <v>338</v>
      </c>
      <c r="AD21" s="52" t="s">
        <v>163</v>
      </c>
      <c r="AE21" s="48"/>
      <c r="AF21" s="48"/>
    </row>
    <row r="22" spans="2:32" ht="16.5">
      <c r="B22" s="182" t="s">
        <v>404</v>
      </c>
      <c r="C22" s="183"/>
      <c r="D22" s="183">
        <v>785</v>
      </c>
      <c r="E22" s="183">
        <v>442</v>
      </c>
      <c r="F22" s="183">
        <v>722</v>
      </c>
      <c r="G22" s="183"/>
      <c r="H22" s="183">
        <v>0</v>
      </c>
      <c r="I22" s="183">
        <v>270</v>
      </c>
      <c r="J22" s="183">
        <v>80</v>
      </c>
      <c r="K22" s="183">
        <v>2</v>
      </c>
      <c r="L22" s="183">
        <v>0</v>
      </c>
      <c r="M22" s="183">
        <v>151</v>
      </c>
      <c r="N22" s="184"/>
      <c r="O22" s="184">
        <v>2</v>
      </c>
      <c r="P22" s="184">
        <v>1</v>
      </c>
      <c r="Q22" s="184">
        <v>1</v>
      </c>
      <c r="R22" s="184"/>
      <c r="S22" s="184">
        <v>5</v>
      </c>
      <c r="T22" s="184"/>
      <c r="U22" s="184"/>
      <c r="V22" s="183"/>
      <c r="W22" s="183"/>
      <c r="X22" s="182" t="str">
        <f>Table24[[#This Row],[Raw Material]]</f>
        <v>M25 D</v>
      </c>
      <c r="AA22" s="131"/>
      <c r="AC22" s="48" t="s">
        <v>384</v>
      </c>
      <c r="AD22" s="52" t="s">
        <v>385</v>
      </c>
      <c r="AE22" s="48"/>
      <c r="AF22" s="48"/>
    </row>
    <row r="23" spans="2:32" ht="16.5">
      <c r="B23" s="182" t="s">
        <v>228</v>
      </c>
      <c r="C23" s="183"/>
      <c r="D23" s="183">
        <v>674</v>
      </c>
      <c r="E23" s="183">
        <v>443</v>
      </c>
      <c r="F23" s="183">
        <v>665</v>
      </c>
      <c r="G23" s="183"/>
      <c r="H23" s="183">
        <v>0</v>
      </c>
      <c r="I23" s="183">
        <v>330</v>
      </c>
      <c r="J23" s="183">
        <v>83</v>
      </c>
      <c r="K23" s="183">
        <v>1.9</v>
      </c>
      <c r="L23" s="183">
        <v>0</v>
      </c>
      <c r="M23" s="183">
        <v>198</v>
      </c>
      <c r="N23" s="184"/>
      <c r="O23" s="184">
        <v>2</v>
      </c>
      <c r="P23" s="184">
        <v>1</v>
      </c>
      <c r="Q23" s="184">
        <v>1</v>
      </c>
      <c r="R23" s="184"/>
      <c r="S23" s="184">
        <v>4.5</v>
      </c>
      <c r="T23" s="184"/>
      <c r="U23" s="184"/>
      <c r="V23" s="183">
        <v>-1</v>
      </c>
      <c r="W23" s="183">
        <v>4</v>
      </c>
      <c r="X23" s="182" t="str">
        <f>Table24[[#This Row],[Raw Material]]</f>
        <v>M 25 (KSEB)</v>
      </c>
      <c r="AA23" s="132"/>
      <c r="AC23" s="159" t="s">
        <v>339</v>
      </c>
      <c r="AD23" s="52" t="s">
        <v>410</v>
      </c>
      <c r="AE23" s="48"/>
      <c r="AF23" s="48"/>
    </row>
    <row r="24" spans="2:32" ht="16.5">
      <c r="B24" s="182" t="s">
        <v>244</v>
      </c>
      <c r="C24" s="183"/>
      <c r="D24" s="183">
        <v>784</v>
      </c>
      <c r="E24" s="183">
        <v>430</v>
      </c>
      <c r="F24" s="183">
        <v>732</v>
      </c>
      <c r="G24" s="183"/>
      <c r="H24" s="183">
        <v>0</v>
      </c>
      <c r="I24" s="183">
        <v>280</v>
      </c>
      <c r="J24" s="183">
        <v>80</v>
      </c>
      <c r="K24" s="183">
        <v>2.2000000000000002</v>
      </c>
      <c r="L24" s="183">
        <v>0</v>
      </c>
      <c r="M24" s="183">
        <v>148</v>
      </c>
      <c r="N24" s="184"/>
      <c r="O24" s="184">
        <v>2</v>
      </c>
      <c r="P24" s="184">
        <v>1</v>
      </c>
      <c r="Q24" s="184">
        <v>1</v>
      </c>
      <c r="R24" s="184"/>
      <c r="S24" s="184">
        <v>5</v>
      </c>
      <c r="T24" s="184"/>
      <c r="U24" s="184"/>
      <c r="V24" s="183">
        <v>-2</v>
      </c>
      <c r="W24" s="183">
        <v>4</v>
      </c>
      <c r="X24" s="182" t="str">
        <f>Table24[[#This Row],[Raw Material]]</f>
        <v>M 25 M</v>
      </c>
      <c r="AC24" s="125" t="s">
        <v>388</v>
      </c>
      <c r="AD24" s="52" t="s">
        <v>203</v>
      </c>
      <c r="AE24" s="48"/>
      <c r="AF24" s="48"/>
    </row>
    <row r="25" spans="2:32" ht="16.5">
      <c r="B25" s="182" t="s">
        <v>133</v>
      </c>
      <c r="C25" s="183"/>
      <c r="D25" s="183">
        <v>785</v>
      </c>
      <c r="E25" s="183">
        <v>407</v>
      </c>
      <c r="F25" s="183">
        <v>757</v>
      </c>
      <c r="G25" s="183"/>
      <c r="H25" s="183">
        <v>270</v>
      </c>
      <c r="I25" s="183">
        <v>0</v>
      </c>
      <c r="J25" s="183">
        <v>80</v>
      </c>
      <c r="K25" s="183">
        <v>2</v>
      </c>
      <c r="L25" s="183">
        <v>0</v>
      </c>
      <c r="M25" s="183">
        <v>151</v>
      </c>
      <c r="N25" s="184"/>
      <c r="O25" s="184">
        <v>2</v>
      </c>
      <c r="P25" s="184">
        <v>1</v>
      </c>
      <c r="Q25" s="184">
        <v>1</v>
      </c>
      <c r="R25" s="184"/>
      <c r="S25" s="184">
        <v>4.5</v>
      </c>
      <c r="T25" s="184"/>
      <c r="U25" s="184"/>
      <c r="V25" s="183">
        <v>-2</v>
      </c>
      <c r="W25" s="183">
        <v>3</v>
      </c>
      <c r="X25" s="182" t="str">
        <f>Table24[[#This Row],[Raw Material]]</f>
        <v>M 25 L</v>
      </c>
      <c r="AC25" s="125" t="s">
        <v>362</v>
      </c>
      <c r="AD25" s="52" t="s">
        <v>355</v>
      </c>
      <c r="AE25" s="48"/>
      <c r="AF25" s="48"/>
    </row>
    <row r="26" spans="2:32" ht="16.5">
      <c r="B26" s="182" t="s">
        <v>134</v>
      </c>
      <c r="C26" s="183"/>
      <c r="D26" s="183">
        <v>679</v>
      </c>
      <c r="E26" s="183">
        <v>494</v>
      </c>
      <c r="F26" s="183">
        <v>742</v>
      </c>
      <c r="G26" s="183"/>
      <c r="H26" s="183">
        <v>265</v>
      </c>
      <c r="I26" s="183">
        <v>0</v>
      </c>
      <c r="J26" s="183">
        <v>80</v>
      </c>
      <c r="K26" s="183">
        <v>2.5</v>
      </c>
      <c r="L26" s="183">
        <v>0</v>
      </c>
      <c r="M26" s="183">
        <v>140</v>
      </c>
      <c r="N26" s="184"/>
      <c r="O26" s="184">
        <v>2</v>
      </c>
      <c r="P26" s="184">
        <v>1</v>
      </c>
      <c r="Q26" s="184">
        <v>1</v>
      </c>
      <c r="R26" s="184"/>
      <c r="S26" s="184">
        <v>4.5</v>
      </c>
      <c r="T26" s="184"/>
      <c r="U26" s="184"/>
      <c r="V26" s="183">
        <v>-2</v>
      </c>
      <c r="W26" s="183">
        <v>4</v>
      </c>
      <c r="X26" s="182" t="str">
        <f>Table24[[#This Row],[Raw Material]]</f>
        <v>M 25 R</v>
      </c>
      <c r="AC26" s="125" t="s">
        <v>406</v>
      </c>
      <c r="AD26" s="52" t="s">
        <v>405</v>
      </c>
      <c r="AE26" s="48"/>
      <c r="AF26" s="48"/>
    </row>
    <row r="27" spans="2:32" ht="16.5">
      <c r="B27" s="182" t="s">
        <v>297</v>
      </c>
      <c r="C27" s="183"/>
      <c r="D27" s="183">
        <v>793</v>
      </c>
      <c r="E27" s="183">
        <v>482</v>
      </c>
      <c r="F27" s="183">
        <v>694</v>
      </c>
      <c r="G27" s="183"/>
      <c r="H27" s="183">
        <v>270</v>
      </c>
      <c r="I27" s="183">
        <v>0</v>
      </c>
      <c r="J27" s="183">
        <v>80</v>
      </c>
      <c r="K27" s="183">
        <v>1.9</v>
      </c>
      <c r="L27" s="183">
        <v>0</v>
      </c>
      <c r="M27" s="183">
        <v>150</v>
      </c>
      <c r="N27" s="184"/>
      <c r="O27" s="184">
        <v>2</v>
      </c>
      <c r="P27" s="184">
        <v>1</v>
      </c>
      <c r="Q27" s="184">
        <v>1</v>
      </c>
      <c r="R27" s="184"/>
      <c r="S27" s="184">
        <v>4</v>
      </c>
      <c r="T27" s="184"/>
      <c r="U27" s="184"/>
      <c r="V27" s="183">
        <v>-2</v>
      </c>
      <c r="W27" s="183">
        <v>3</v>
      </c>
      <c r="X27" s="182" t="str">
        <f>Table24[[#This Row],[Raw Material]]</f>
        <v>M 25 H (WP)</v>
      </c>
      <c r="AC27" s="125" t="s">
        <v>189</v>
      </c>
      <c r="AD27" s="52" t="s">
        <v>235</v>
      </c>
      <c r="AE27" s="48"/>
      <c r="AF27" s="48"/>
    </row>
    <row r="28" spans="2:32" ht="16.5">
      <c r="B28" s="182" t="s">
        <v>330</v>
      </c>
      <c r="C28" s="183"/>
      <c r="D28" s="183">
        <v>785</v>
      </c>
      <c r="E28" s="183">
        <v>407</v>
      </c>
      <c r="F28" s="183">
        <v>757</v>
      </c>
      <c r="G28" s="183"/>
      <c r="H28" s="183">
        <v>0</v>
      </c>
      <c r="I28" s="183">
        <v>280</v>
      </c>
      <c r="J28" s="183">
        <v>70</v>
      </c>
      <c r="K28" s="183">
        <v>2</v>
      </c>
      <c r="L28" s="183">
        <v>0</v>
      </c>
      <c r="M28" s="183">
        <v>151</v>
      </c>
      <c r="N28" s="184"/>
      <c r="O28" s="184">
        <v>2</v>
      </c>
      <c r="P28" s="184">
        <v>1</v>
      </c>
      <c r="Q28" s="184">
        <v>1</v>
      </c>
      <c r="R28" s="184"/>
      <c r="S28" s="184">
        <v>5</v>
      </c>
      <c r="T28" s="184"/>
      <c r="U28" s="184"/>
      <c r="V28" s="183">
        <v>-2</v>
      </c>
      <c r="W28" s="183">
        <v>4</v>
      </c>
      <c r="X28" s="182" t="str">
        <f>Table24[[#This Row],[Raw Material]]</f>
        <v xml:space="preserve">M 25 </v>
      </c>
      <c r="AC28" s="133" t="s">
        <v>224</v>
      </c>
      <c r="AD28" s="52" t="s">
        <v>225</v>
      </c>
      <c r="AE28" s="48"/>
      <c r="AF28" s="48"/>
    </row>
    <row r="29" spans="2:32" ht="16.5">
      <c r="B29" s="182" t="s">
        <v>228</v>
      </c>
      <c r="C29" s="183"/>
      <c r="D29" s="183">
        <v>674</v>
      </c>
      <c r="E29" s="183">
        <v>443</v>
      </c>
      <c r="F29" s="183">
        <v>665</v>
      </c>
      <c r="G29" s="183"/>
      <c r="H29" s="183">
        <v>0</v>
      </c>
      <c r="I29" s="183">
        <v>330</v>
      </c>
      <c r="J29" s="183">
        <v>83</v>
      </c>
      <c r="K29" s="183">
        <v>1.9</v>
      </c>
      <c r="L29" s="183">
        <v>0</v>
      </c>
      <c r="M29" s="183">
        <v>198</v>
      </c>
      <c r="N29" s="184"/>
      <c r="O29" s="184">
        <v>2</v>
      </c>
      <c r="P29" s="184">
        <v>1</v>
      </c>
      <c r="Q29" s="184">
        <v>1</v>
      </c>
      <c r="R29" s="184"/>
      <c r="S29" s="184">
        <v>4.5</v>
      </c>
      <c r="T29" s="184"/>
      <c r="U29" s="184"/>
      <c r="V29" s="183">
        <v>-2</v>
      </c>
      <c r="W29" s="183">
        <v>4</v>
      </c>
      <c r="X29" s="182" t="str">
        <f>Table24[[#This Row],[Raw Material]]</f>
        <v>M 25 (KSEB)</v>
      </c>
      <c r="AC29" s="138" t="s">
        <v>243</v>
      </c>
      <c r="AD29" s="135" t="s">
        <v>162</v>
      </c>
      <c r="AE29" s="48"/>
      <c r="AF29" s="48"/>
    </row>
    <row r="30" spans="2:32" ht="16.5">
      <c r="B30" s="182" t="s">
        <v>327</v>
      </c>
      <c r="C30" s="183"/>
      <c r="D30" s="183">
        <v>807</v>
      </c>
      <c r="E30" s="183">
        <v>473</v>
      </c>
      <c r="F30" s="183">
        <v>712</v>
      </c>
      <c r="G30" s="183"/>
      <c r="H30" s="183">
        <v>340</v>
      </c>
      <c r="I30" s="183">
        <v>0</v>
      </c>
      <c r="J30" s="183">
        <v>0</v>
      </c>
      <c r="K30" s="183">
        <v>2.1</v>
      </c>
      <c r="L30" s="183">
        <v>0</v>
      </c>
      <c r="M30" s="183">
        <v>156</v>
      </c>
      <c r="N30" s="184"/>
      <c r="O30" s="184">
        <v>2</v>
      </c>
      <c r="P30" s="184">
        <v>1</v>
      </c>
      <c r="Q30" s="184">
        <v>1</v>
      </c>
      <c r="R30" s="184"/>
      <c r="S30" s="184">
        <v>5.5</v>
      </c>
      <c r="T30" s="184"/>
      <c r="U30" s="184"/>
      <c r="V30" s="183">
        <v>-2</v>
      </c>
      <c r="W30" s="183">
        <v>3</v>
      </c>
      <c r="X30" s="182" t="str">
        <f>Table24[[#This Row],[Raw Material]]</f>
        <v>M 25 DALMIA</v>
      </c>
      <c r="AC30" s="46" t="s">
        <v>382</v>
      </c>
      <c r="AD30" s="52" t="s">
        <v>383</v>
      </c>
      <c r="AE30" s="48"/>
      <c r="AF30" s="48"/>
    </row>
    <row r="31" spans="2:32" ht="16.5">
      <c r="B31" s="182" t="s">
        <v>255</v>
      </c>
      <c r="C31" s="183"/>
      <c r="D31" s="183">
        <v>686</v>
      </c>
      <c r="E31" s="183">
        <v>595</v>
      </c>
      <c r="F31" s="183">
        <v>599</v>
      </c>
      <c r="G31" s="183"/>
      <c r="H31" s="183">
        <v>320</v>
      </c>
      <c r="I31" s="183">
        <v>0</v>
      </c>
      <c r="J31" s="183">
        <v>80</v>
      </c>
      <c r="K31" s="183">
        <v>2.2999999999999998</v>
      </c>
      <c r="L31" s="183">
        <v>0</v>
      </c>
      <c r="M31" s="183">
        <v>160</v>
      </c>
      <c r="N31" s="184"/>
      <c r="O31" s="184">
        <v>2</v>
      </c>
      <c r="P31" s="184">
        <v>1</v>
      </c>
      <c r="Q31" s="184">
        <v>1</v>
      </c>
      <c r="R31" s="184"/>
      <c r="S31" s="184">
        <v>5.5</v>
      </c>
      <c r="T31" s="184"/>
      <c r="U31" s="184"/>
      <c r="V31" s="183">
        <v>-3</v>
      </c>
      <c r="W31" s="183">
        <v>4</v>
      </c>
      <c r="X31" s="182" t="str">
        <f>Table24[[#This Row],[Raw Material]]</f>
        <v>M 30 A</v>
      </c>
      <c r="AC31" s="175" t="s">
        <v>411</v>
      </c>
      <c r="AD31" s="52" t="s">
        <v>412</v>
      </c>
      <c r="AE31" s="48"/>
      <c r="AF31" s="48"/>
    </row>
    <row r="32" spans="2:32" ht="16.5">
      <c r="B32" s="182" t="s">
        <v>373</v>
      </c>
      <c r="C32" s="183"/>
      <c r="D32" s="183">
        <v>773</v>
      </c>
      <c r="E32" s="183">
        <v>453</v>
      </c>
      <c r="F32" s="183">
        <v>708</v>
      </c>
      <c r="G32" s="183"/>
      <c r="H32" s="183">
        <v>290</v>
      </c>
      <c r="I32" s="183">
        <v>0</v>
      </c>
      <c r="J32" s="183">
        <v>90</v>
      </c>
      <c r="K32" s="183">
        <v>2.1</v>
      </c>
      <c r="L32" s="183">
        <v>0</v>
      </c>
      <c r="M32" s="183">
        <v>152</v>
      </c>
      <c r="N32" s="184"/>
      <c r="O32" s="184">
        <v>2</v>
      </c>
      <c r="P32" s="184">
        <v>1</v>
      </c>
      <c r="Q32" s="184">
        <v>1</v>
      </c>
      <c r="R32" s="184"/>
      <c r="S32" s="184">
        <v>4.5</v>
      </c>
      <c r="T32" s="184"/>
      <c r="U32" s="184"/>
      <c r="V32" s="183">
        <v>-2</v>
      </c>
      <c r="W32" s="183">
        <v>4</v>
      </c>
      <c r="X32" s="182" t="str">
        <f>Table24[[#This Row],[Raw Material]]</f>
        <v>M 30 J+WP</v>
      </c>
      <c r="AC32" s="125" t="s">
        <v>209</v>
      </c>
      <c r="AD32" s="52" t="s">
        <v>139</v>
      </c>
      <c r="AE32" s="48"/>
      <c r="AF32" s="48"/>
    </row>
    <row r="33" spans="2:41" ht="16.5">
      <c r="B33" s="182" t="s">
        <v>242</v>
      </c>
      <c r="C33" s="183"/>
      <c r="D33" s="183">
        <v>761</v>
      </c>
      <c r="E33" s="183">
        <v>457</v>
      </c>
      <c r="F33" s="183">
        <v>685</v>
      </c>
      <c r="G33" s="183"/>
      <c r="H33" s="183">
        <v>380</v>
      </c>
      <c r="I33" s="183">
        <v>0</v>
      </c>
      <c r="J33" s="183">
        <v>0</v>
      </c>
      <c r="K33" s="183">
        <v>2.5</v>
      </c>
      <c r="L33" s="183">
        <v>0</v>
      </c>
      <c r="M33" s="183">
        <v>159</v>
      </c>
      <c r="N33" s="184"/>
      <c r="O33" s="184">
        <v>1.5</v>
      </c>
      <c r="P33" s="184">
        <v>1</v>
      </c>
      <c r="Q33" s="184">
        <v>1</v>
      </c>
      <c r="R33" s="184"/>
      <c r="S33" s="184">
        <v>5</v>
      </c>
      <c r="T33" s="184"/>
      <c r="U33" s="184"/>
      <c r="V33" s="183">
        <v>-2</v>
      </c>
      <c r="W33" s="183">
        <v>4</v>
      </c>
      <c r="X33" s="182" t="str">
        <f>Table24[[#This Row],[Raw Material]]</f>
        <v xml:space="preserve">M 30 JSW OPC53 </v>
      </c>
      <c r="AC33" s="125" t="s">
        <v>400</v>
      </c>
      <c r="AD33" s="52" t="s">
        <v>401</v>
      </c>
      <c r="AE33" s="48"/>
      <c r="AF33" s="48"/>
    </row>
    <row r="34" spans="2:41" ht="16.5">
      <c r="B34" s="182" t="s">
        <v>135</v>
      </c>
      <c r="C34" s="183"/>
      <c r="D34" s="183">
        <v>660</v>
      </c>
      <c r="E34" s="183">
        <v>464</v>
      </c>
      <c r="F34" s="183">
        <v>696</v>
      </c>
      <c r="G34" s="183"/>
      <c r="H34" s="183">
        <v>400</v>
      </c>
      <c r="I34" s="183">
        <v>0</v>
      </c>
      <c r="J34" s="183">
        <v>0</v>
      </c>
      <c r="K34" s="183">
        <v>0.8</v>
      </c>
      <c r="L34" s="183">
        <v>0</v>
      </c>
      <c r="M34" s="183">
        <v>180</v>
      </c>
      <c r="N34" s="184"/>
      <c r="O34" s="184">
        <v>2</v>
      </c>
      <c r="P34" s="184">
        <v>1</v>
      </c>
      <c r="Q34" s="184">
        <v>1</v>
      </c>
      <c r="R34" s="184"/>
      <c r="S34" s="184">
        <v>4.5</v>
      </c>
      <c r="T34" s="184"/>
      <c r="U34" s="184"/>
      <c r="V34" s="183">
        <v>-2</v>
      </c>
      <c r="W34" s="183">
        <v>4</v>
      </c>
      <c r="X34" s="182" t="str">
        <f>Table24[[#This Row],[Raw Material]]</f>
        <v>M 30 R</v>
      </c>
      <c r="AC34" s="125" t="s">
        <v>246</v>
      </c>
      <c r="AD34" s="52" t="s">
        <v>361</v>
      </c>
      <c r="AE34" s="48"/>
      <c r="AF34" s="48"/>
    </row>
    <row r="35" spans="2:41" ht="16.5">
      <c r="B35" s="182" t="s">
        <v>409</v>
      </c>
      <c r="C35" s="183"/>
      <c r="D35" s="183">
        <v>735</v>
      </c>
      <c r="E35" s="183">
        <v>597</v>
      </c>
      <c r="F35" s="183">
        <v>599</v>
      </c>
      <c r="G35" s="183"/>
      <c r="H35" s="183">
        <v>380</v>
      </c>
      <c r="I35" s="183">
        <v>0</v>
      </c>
      <c r="J35" s="183">
        <v>0</v>
      </c>
      <c r="K35" s="183">
        <v>2</v>
      </c>
      <c r="L35" s="183">
        <v>0</v>
      </c>
      <c r="M35" s="183">
        <v>152</v>
      </c>
      <c r="N35" s="184"/>
      <c r="O35" s="184">
        <v>2</v>
      </c>
      <c r="P35" s="184">
        <v>0.5</v>
      </c>
      <c r="Q35" s="184">
        <v>0.5</v>
      </c>
      <c r="R35" s="184"/>
      <c r="S35" s="184">
        <v>4.5</v>
      </c>
      <c r="T35" s="184"/>
      <c r="U35" s="184"/>
      <c r="V35" s="183"/>
      <c r="W35" s="183"/>
      <c r="X35" s="182" t="str">
        <f>Table24[[#This Row],[Raw Material]]</f>
        <v>M30 OPC</v>
      </c>
      <c r="AC35" s="125" t="s">
        <v>229</v>
      </c>
      <c r="AD35" s="52" t="s">
        <v>230</v>
      </c>
      <c r="AE35" s="48"/>
      <c r="AF35" s="48"/>
    </row>
    <row r="36" spans="2:41" ht="16.5">
      <c r="B36" s="182" t="s">
        <v>192</v>
      </c>
      <c r="C36" s="183"/>
      <c r="D36" s="183">
        <v>764</v>
      </c>
      <c r="E36" s="183">
        <v>408</v>
      </c>
      <c r="F36" s="183">
        <v>725</v>
      </c>
      <c r="G36" s="183"/>
      <c r="H36" s="183">
        <v>290</v>
      </c>
      <c r="I36" s="183">
        <v>0</v>
      </c>
      <c r="J36" s="183">
        <v>90</v>
      </c>
      <c r="K36" s="183">
        <v>2.6</v>
      </c>
      <c r="L36" s="183">
        <v>0</v>
      </c>
      <c r="M36" s="183">
        <v>159</v>
      </c>
      <c r="N36" s="184"/>
      <c r="O36" s="184">
        <v>2</v>
      </c>
      <c r="P36" s="184">
        <v>1</v>
      </c>
      <c r="Q36" s="184">
        <v>1</v>
      </c>
      <c r="R36" s="184"/>
      <c r="S36" s="184">
        <v>4.5</v>
      </c>
      <c r="T36" s="184"/>
      <c r="U36" s="184"/>
      <c r="V36" s="183">
        <v>-2</v>
      </c>
      <c r="W36" s="183">
        <v>4</v>
      </c>
      <c r="X36" s="182" t="str">
        <f>Table24[[#This Row],[Raw Material]]</f>
        <v>M 30 OPC+PFA+WP</v>
      </c>
      <c r="AC36" s="176" t="s">
        <v>415</v>
      </c>
      <c r="AD36" s="52" t="s">
        <v>416</v>
      </c>
      <c r="AE36" s="48"/>
      <c r="AF36" s="48"/>
    </row>
    <row r="37" spans="2:41" ht="16.5">
      <c r="B37" s="182" t="s">
        <v>403</v>
      </c>
      <c r="C37" s="183"/>
      <c r="D37" s="183">
        <v>683</v>
      </c>
      <c r="E37" s="183">
        <v>592</v>
      </c>
      <c r="F37" s="183">
        <v>596</v>
      </c>
      <c r="G37" s="183"/>
      <c r="H37" s="183">
        <v>0</v>
      </c>
      <c r="I37" s="183">
        <v>340</v>
      </c>
      <c r="J37" s="183">
        <v>70</v>
      </c>
      <c r="K37" s="183">
        <v>2.2000000000000002</v>
      </c>
      <c r="L37" s="183">
        <v>0</v>
      </c>
      <c r="M37" s="183">
        <v>160</v>
      </c>
      <c r="N37" s="184"/>
      <c r="O37" s="184">
        <v>2</v>
      </c>
      <c r="P37" s="184">
        <v>1</v>
      </c>
      <c r="Q37" s="184">
        <v>1</v>
      </c>
      <c r="R37" s="184"/>
      <c r="S37" s="184">
        <v>6</v>
      </c>
      <c r="T37" s="184"/>
      <c r="U37" s="184"/>
      <c r="V37" s="183">
        <v>-2</v>
      </c>
      <c r="W37" s="183">
        <v>4</v>
      </c>
      <c r="X37" s="182" t="str">
        <f>Table24[[#This Row],[Raw Material]]</f>
        <v>M 35 A  (CHETTINAD OPC+PFA)</v>
      </c>
      <c r="AC37" s="125" t="s">
        <v>245</v>
      </c>
      <c r="AD37" s="52" t="s">
        <v>157</v>
      </c>
      <c r="AE37" s="48"/>
      <c r="AF37" s="48"/>
    </row>
    <row r="38" spans="2:41" ht="16.5">
      <c r="B38" s="182" t="s">
        <v>370</v>
      </c>
      <c r="C38" s="183"/>
      <c r="D38" s="183">
        <v>757</v>
      </c>
      <c r="E38" s="183">
        <v>464</v>
      </c>
      <c r="F38" s="183">
        <v>697</v>
      </c>
      <c r="G38" s="183"/>
      <c r="H38" s="183">
        <v>340</v>
      </c>
      <c r="I38" s="183">
        <v>0</v>
      </c>
      <c r="J38" s="183">
        <v>70</v>
      </c>
      <c r="K38" s="183">
        <v>2.5</v>
      </c>
      <c r="L38" s="183">
        <v>0</v>
      </c>
      <c r="M38" s="183">
        <v>156</v>
      </c>
      <c r="N38" s="184"/>
      <c r="O38" s="184">
        <v>2</v>
      </c>
      <c r="P38" s="184">
        <v>1</v>
      </c>
      <c r="Q38" s="184">
        <v>1</v>
      </c>
      <c r="R38" s="184"/>
      <c r="S38" s="184">
        <v>4.3</v>
      </c>
      <c r="T38" s="184"/>
      <c r="U38" s="184"/>
      <c r="V38" s="183">
        <v>-2</v>
      </c>
      <c r="W38" s="183">
        <v>4</v>
      </c>
      <c r="X38" s="182" t="str">
        <f>Table24[[#This Row],[Raw Material]]</f>
        <v>M 35 B</v>
      </c>
      <c r="AC38" s="125" t="s">
        <v>159</v>
      </c>
      <c r="AD38" s="52" t="s">
        <v>127</v>
      </c>
      <c r="AE38" s="48"/>
      <c r="AF38" s="48"/>
    </row>
    <row r="39" spans="2:41" ht="15.75" customHeight="1">
      <c r="B39" s="182" t="s">
        <v>306</v>
      </c>
      <c r="C39" s="183"/>
      <c r="D39" s="183">
        <v>792</v>
      </c>
      <c r="E39" s="183">
        <v>558</v>
      </c>
      <c r="F39" s="183">
        <v>630</v>
      </c>
      <c r="G39" s="183"/>
      <c r="H39" s="183">
        <v>385</v>
      </c>
      <c r="I39" s="183">
        <v>0</v>
      </c>
      <c r="J39" s="183">
        <v>0</v>
      </c>
      <c r="K39" s="183">
        <v>1.93</v>
      </c>
      <c r="L39" s="183">
        <v>0</v>
      </c>
      <c r="M39" s="183">
        <v>162</v>
      </c>
      <c r="N39" s="184"/>
      <c r="O39" s="184">
        <v>2</v>
      </c>
      <c r="P39" s="184">
        <v>1</v>
      </c>
      <c r="Q39" s="184">
        <v>1</v>
      </c>
      <c r="R39" s="184"/>
      <c r="S39" s="184">
        <v>4.5</v>
      </c>
      <c r="T39" s="184"/>
      <c r="U39" s="184"/>
      <c r="V39" s="183"/>
      <c r="W39" s="183"/>
      <c r="X39" s="182" t="str">
        <f>Table24[[#This Row],[Raw Material]]</f>
        <v>M35  RAMCO OPC</v>
      </c>
      <c r="AC39" s="125" t="s">
        <v>331</v>
      </c>
      <c r="AD39" s="52" t="s">
        <v>332</v>
      </c>
      <c r="AE39" s="48"/>
      <c r="AF39" s="48"/>
    </row>
    <row r="40" spans="2:41" ht="16.5">
      <c r="B40" s="182" t="s">
        <v>136</v>
      </c>
      <c r="C40" s="183"/>
      <c r="D40" s="183">
        <v>750</v>
      </c>
      <c r="E40" s="183">
        <v>420</v>
      </c>
      <c r="F40" s="183">
        <v>712</v>
      </c>
      <c r="G40" s="183"/>
      <c r="H40" s="183">
        <v>465</v>
      </c>
      <c r="I40" s="183">
        <v>0</v>
      </c>
      <c r="J40" s="183">
        <v>0</v>
      </c>
      <c r="K40" s="183">
        <v>2.5</v>
      </c>
      <c r="L40" s="183">
        <v>0</v>
      </c>
      <c r="M40" s="183">
        <v>149</v>
      </c>
      <c r="N40" s="184">
        <v>0</v>
      </c>
      <c r="O40" s="184">
        <v>2</v>
      </c>
      <c r="P40" s="184">
        <v>1</v>
      </c>
      <c r="Q40" s="184">
        <v>1</v>
      </c>
      <c r="R40" s="184">
        <v>0</v>
      </c>
      <c r="S40" s="184">
        <v>4.5</v>
      </c>
      <c r="T40" s="184">
        <v>0</v>
      </c>
      <c r="U40" s="184">
        <v>0</v>
      </c>
      <c r="V40" s="183">
        <v>-2</v>
      </c>
      <c r="W40" s="183">
        <v>4</v>
      </c>
      <c r="X40" s="182" t="str">
        <f>Table24[[#This Row],[Raw Material]]</f>
        <v xml:space="preserve">M 35 L </v>
      </c>
      <c r="AC40" s="125" t="s">
        <v>328</v>
      </c>
      <c r="AD40" s="52" t="s">
        <v>329</v>
      </c>
      <c r="AE40" s="48"/>
      <c r="AF40" s="48"/>
    </row>
    <row r="41" spans="2:41" ht="16.5">
      <c r="B41" s="182" t="s">
        <v>304</v>
      </c>
      <c r="C41" s="183"/>
      <c r="D41" s="183">
        <v>765</v>
      </c>
      <c r="E41" s="183">
        <v>449</v>
      </c>
      <c r="F41" s="183">
        <v>703</v>
      </c>
      <c r="G41" s="183"/>
      <c r="H41" s="183">
        <v>400</v>
      </c>
      <c r="I41" s="183">
        <v>0</v>
      </c>
      <c r="J41" s="183">
        <v>0</v>
      </c>
      <c r="K41" s="183">
        <v>2.7</v>
      </c>
      <c r="L41" s="183">
        <v>0</v>
      </c>
      <c r="M41" s="183">
        <v>156</v>
      </c>
      <c r="N41" s="184">
        <v>0</v>
      </c>
      <c r="O41" s="184">
        <v>2</v>
      </c>
      <c r="P41" s="184">
        <v>1</v>
      </c>
      <c r="Q41" s="184">
        <v>1</v>
      </c>
      <c r="R41" s="184">
        <v>0</v>
      </c>
      <c r="S41" s="184">
        <v>5.8</v>
      </c>
      <c r="T41" s="184">
        <v>0</v>
      </c>
      <c r="U41" s="184">
        <v>0</v>
      </c>
      <c r="V41" s="183">
        <v>-1</v>
      </c>
      <c r="W41" s="183">
        <v>4</v>
      </c>
      <c r="X41" s="182" t="str">
        <f>Table24[[#This Row],[Raw Material]]</f>
        <v xml:space="preserve">M 35 </v>
      </c>
      <c r="AC41" s="125" t="s">
        <v>231</v>
      </c>
      <c r="AD41" s="52" t="s">
        <v>227</v>
      </c>
      <c r="AE41" s="48"/>
      <c r="AF41" s="48"/>
    </row>
    <row r="42" spans="2:41" ht="16.5">
      <c r="B42" s="182" t="s">
        <v>260</v>
      </c>
      <c r="C42" s="183"/>
      <c r="D42" s="183">
        <v>743</v>
      </c>
      <c r="E42" s="183">
        <v>435</v>
      </c>
      <c r="F42" s="183">
        <v>681</v>
      </c>
      <c r="G42" s="183"/>
      <c r="H42" s="183">
        <v>340</v>
      </c>
      <c r="I42" s="183">
        <v>0</v>
      </c>
      <c r="J42" s="183">
        <v>100</v>
      </c>
      <c r="K42" s="183">
        <v>2.6</v>
      </c>
      <c r="L42" s="183">
        <v>0</v>
      </c>
      <c r="M42" s="183">
        <v>154</v>
      </c>
      <c r="N42" s="184"/>
      <c r="O42" s="184">
        <v>2</v>
      </c>
      <c r="P42" s="184">
        <v>1</v>
      </c>
      <c r="Q42" s="184">
        <v>1</v>
      </c>
      <c r="R42" s="184"/>
      <c r="S42" s="184">
        <v>4.5</v>
      </c>
      <c r="T42" s="184"/>
      <c r="U42" s="184"/>
      <c r="V42" s="183">
        <v>-2</v>
      </c>
      <c r="W42" s="183">
        <v>4</v>
      </c>
      <c r="X42" s="182" t="str">
        <f>Table24[[#This Row],[Raw Material]]</f>
        <v>M 40 A</v>
      </c>
      <c r="AC42" s="125" t="s">
        <v>112</v>
      </c>
      <c r="AD42" s="52" t="s">
        <v>319</v>
      </c>
      <c r="AE42" s="48"/>
      <c r="AF42" s="48"/>
    </row>
    <row r="43" spans="2:41" ht="16.5">
      <c r="B43" s="182" t="s">
        <v>210</v>
      </c>
      <c r="C43" s="183"/>
      <c r="D43" s="183">
        <v>693</v>
      </c>
      <c r="E43" s="183">
        <v>463</v>
      </c>
      <c r="F43" s="183">
        <v>695</v>
      </c>
      <c r="G43" s="183"/>
      <c r="H43" s="183">
        <v>465</v>
      </c>
      <c r="I43" s="183">
        <v>0</v>
      </c>
      <c r="J43" s="183">
        <v>0</v>
      </c>
      <c r="K43" s="183">
        <v>2.5499999999999998</v>
      </c>
      <c r="L43" s="183">
        <v>0</v>
      </c>
      <c r="M43" s="183">
        <v>149</v>
      </c>
      <c r="N43" s="184">
        <v>0</v>
      </c>
      <c r="O43" s="184">
        <v>2</v>
      </c>
      <c r="P43" s="184">
        <v>1</v>
      </c>
      <c r="Q43" s="184">
        <v>1</v>
      </c>
      <c r="R43" s="184">
        <v>0</v>
      </c>
      <c r="S43" s="184">
        <v>4.5</v>
      </c>
      <c r="T43" s="184">
        <v>0</v>
      </c>
      <c r="U43" s="184">
        <v>0</v>
      </c>
      <c r="V43" s="183">
        <v>-2</v>
      </c>
      <c r="W43" s="183">
        <v>4</v>
      </c>
      <c r="X43" s="182" t="str">
        <f>Table24[[#This Row],[Raw Material]]</f>
        <v>M 45 B Chettinad OPC</v>
      </c>
      <c r="AC43" s="129" t="s">
        <v>141</v>
      </c>
      <c r="AD43" s="52" t="s">
        <v>140</v>
      </c>
      <c r="AE43" s="48"/>
      <c r="AF43" s="48"/>
    </row>
    <row r="44" spans="2:41" ht="16.5">
      <c r="B44" s="182" t="s">
        <v>275</v>
      </c>
      <c r="C44" s="183"/>
      <c r="D44" s="183">
        <v>776</v>
      </c>
      <c r="E44" s="183">
        <v>423</v>
      </c>
      <c r="F44" s="183">
        <v>632</v>
      </c>
      <c r="G44" s="183"/>
      <c r="H44" s="183">
        <v>340</v>
      </c>
      <c r="I44" s="183">
        <v>0</v>
      </c>
      <c r="J44" s="183">
        <v>80</v>
      </c>
      <c r="K44" s="183">
        <v>2.4</v>
      </c>
      <c r="L44" s="183">
        <v>0</v>
      </c>
      <c r="M44" s="183">
        <v>155</v>
      </c>
      <c r="N44" s="184">
        <v>0</v>
      </c>
      <c r="O44" s="184">
        <v>2</v>
      </c>
      <c r="P44" s="184">
        <v>1</v>
      </c>
      <c r="Q44" s="184">
        <v>1</v>
      </c>
      <c r="R44" s="184">
        <v>0</v>
      </c>
      <c r="S44" s="184">
        <v>4.5</v>
      </c>
      <c r="T44" s="184">
        <v>0</v>
      </c>
      <c r="U44" s="184">
        <v>0</v>
      </c>
      <c r="V44" s="183">
        <v>-2</v>
      </c>
      <c r="W44" s="183">
        <v>4</v>
      </c>
      <c r="X44" s="182" t="str">
        <f>Table24[[#This Row],[Raw Material]]</f>
        <v>M35 D DALMIA OPC+PFA</v>
      </c>
      <c r="AC44" s="125" t="s">
        <v>142</v>
      </c>
      <c r="AD44" s="52" t="s">
        <v>124</v>
      </c>
      <c r="AE44" s="48"/>
      <c r="AF44" s="48"/>
    </row>
    <row r="45" spans="2:41" ht="16.5">
      <c r="B45" s="182" t="s">
        <v>366</v>
      </c>
      <c r="C45" s="183"/>
      <c r="D45" s="183">
        <v>693</v>
      </c>
      <c r="E45" s="183">
        <v>576</v>
      </c>
      <c r="F45" s="183">
        <v>580</v>
      </c>
      <c r="G45" s="183"/>
      <c r="H45" s="183">
        <v>385</v>
      </c>
      <c r="I45" s="183">
        <v>0</v>
      </c>
      <c r="J45" s="183">
        <v>80</v>
      </c>
      <c r="K45" s="183">
        <v>2.5</v>
      </c>
      <c r="L45" s="183">
        <v>0</v>
      </c>
      <c r="M45" s="183">
        <v>149</v>
      </c>
      <c r="N45" s="184">
        <v>0</v>
      </c>
      <c r="O45" s="184">
        <v>2</v>
      </c>
      <c r="P45" s="184">
        <v>1</v>
      </c>
      <c r="Q45" s="184">
        <v>1</v>
      </c>
      <c r="R45" s="184">
        <v>0</v>
      </c>
      <c r="S45" s="184">
        <v>5.2</v>
      </c>
      <c r="T45" s="184">
        <v>0</v>
      </c>
      <c r="U45" s="184">
        <v>0</v>
      </c>
      <c r="V45" s="183">
        <v>-2</v>
      </c>
      <c r="W45" s="183">
        <v>4</v>
      </c>
      <c r="X45" s="182" t="str">
        <f>Table24[[#This Row],[Raw Material]]</f>
        <v xml:space="preserve">M 45 </v>
      </c>
      <c r="AC45" s="125" t="s">
        <v>143</v>
      </c>
      <c r="AD45" s="52" t="s">
        <v>236</v>
      </c>
      <c r="AE45" s="48"/>
      <c r="AF45" s="48"/>
    </row>
    <row r="46" spans="2:41" ht="16.5">
      <c r="B46" s="182" t="s">
        <v>353</v>
      </c>
      <c r="C46" s="183"/>
      <c r="D46" s="183">
        <v>700</v>
      </c>
      <c r="E46" s="183">
        <v>460</v>
      </c>
      <c r="F46" s="183">
        <v>691</v>
      </c>
      <c r="G46" s="183"/>
      <c r="H46" s="183"/>
      <c r="I46" s="183">
        <v>465</v>
      </c>
      <c r="J46" s="183">
        <v>0</v>
      </c>
      <c r="K46" s="183">
        <v>2.6</v>
      </c>
      <c r="L46" s="183">
        <v>0</v>
      </c>
      <c r="M46" s="183">
        <v>148</v>
      </c>
      <c r="N46" s="184">
        <v>0</v>
      </c>
      <c r="O46" s="184">
        <v>2</v>
      </c>
      <c r="P46" s="184">
        <v>0.5</v>
      </c>
      <c r="Q46" s="184">
        <v>0.5</v>
      </c>
      <c r="R46" s="184">
        <v>0</v>
      </c>
      <c r="S46" s="184">
        <v>4.3</v>
      </c>
      <c r="T46" s="184">
        <v>0</v>
      </c>
      <c r="U46" s="184">
        <v>0</v>
      </c>
      <c r="V46" s="183">
        <v>-2</v>
      </c>
      <c r="W46" s="183">
        <v>4</v>
      </c>
      <c r="X46" s="182" t="str">
        <f>Table24[[#This Row],[Raw Material]]</f>
        <v>M 45 B</v>
      </c>
      <c r="AC46" s="125" t="s">
        <v>158</v>
      </c>
      <c r="AD46" s="52" t="s">
        <v>160</v>
      </c>
      <c r="AE46" s="48"/>
      <c r="AF46" s="48"/>
    </row>
    <row r="47" spans="2:41" ht="16.5">
      <c r="B47" s="182" t="s">
        <v>257</v>
      </c>
      <c r="C47" s="183"/>
      <c r="D47" s="183">
        <v>750</v>
      </c>
      <c r="E47" s="183">
        <v>428</v>
      </c>
      <c r="F47" s="183">
        <v>698</v>
      </c>
      <c r="G47" s="183"/>
      <c r="H47" s="183">
        <v>465</v>
      </c>
      <c r="I47" s="183">
        <v>0</v>
      </c>
      <c r="J47" s="183">
        <v>0</v>
      </c>
      <c r="K47" s="183">
        <v>2.7</v>
      </c>
      <c r="L47" s="183">
        <v>0</v>
      </c>
      <c r="M47" s="183">
        <v>153</v>
      </c>
      <c r="N47" s="184">
        <v>0</v>
      </c>
      <c r="O47" s="184">
        <v>2</v>
      </c>
      <c r="P47" s="184">
        <v>1</v>
      </c>
      <c r="Q47" s="184">
        <v>1</v>
      </c>
      <c r="R47" s="184">
        <v>0</v>
      </c>
      <c r="S47" s="184">
        <v>4.5</v>
      </c>
      <c r="T47" s="184">
        <v>0</v>
      </c>
      <c r="U47" s="184">
        <v>0</v>
      </c>
      <c r="V47" s="183">
        <v>-2</v>
      </c>
      <c r="W47" s="183">
        <v>4</v>
      </c>
      <c r="X47" s="182" t="str">
        <f>Table24[[#This Row],[Raw Material]]</f>
        <v xml:space="preserve">M 45 C </v>
      </c>
      <c r="AC47" s="50" t="s">
        <v>190</v>
      </c>
      <c r="AD47" s="52" t="s">
        <v>226</v>
      </c>
      <c r="AF47" s="48"/>
    </row>
    <row r="48" spans="2:41" ht="16.5">
      <c r="B48" s="182" t="s">
        <v>258</v>
      </c>
      <c r="C48" s="183"/>
      <c r="D48" s="183">
        <v>663</v>
      </c>
      <c r="E48" s="183">
        <v>483</v>
      </c>
      <c r="F48" s="183">
        <v>730</v>
      </c>
      <c r="G48" s="183"/>
      <c r="H48" s="183">
        <v>310</v>
      </c>
      <c r="I48" s="183">
        <v>0</v>
      </c>
      <c r="J48" s="183">
        <v>65</v>
      </c>
      <c r="K48" s="183">
        <v>2.4</v>
      </c>
      <c r="L48" s="183">
        <v>0</v>
      </c>
      <c r="M48" s="183">
        <v>150</v>
      </c>
      <c r="N48" s="184">
        <v>0</v>
      </c>
      <c r="O48" s="184">
        <v>0</v>
      </c>
      <c r="P48" s="184">
        <v>1</v>
      </c>
      <c r="Q48" s="184">
        <v>1</v>
      </c>
      <c r="R48" s="184">
        <v>0</v>
      </c>
      <c r="S48" s="184">
        <v>4.5</v>
      </c>
      <c r="T48" s="184">
        <v>0</v>
      </c>
      <c r="U48" s="184">
        <v>0</v>
      </c>
      <c r="V48" s="183">
        <v>-2</v>
      </c>
      <c r="W48" s="183">
        <v>4</v>
      </c>
      <c r="X48" s="182" t="str">
        <f>Table24[[#This Row],[Raw Material]]</f>
        <v>M30 RAILWAY</v>
      </c>
      <c r="AC48" s="125" t="s">
        <v>113</v>
      </c>
      <c r="AD48" s="52" t="s">
        <v>336</v>
      </c>
      <c r="AE48" s="48"/>
      <c r="AF48" s="48"/>
      <c r="AO48" s="130"/>
    </row>
    <row r="49" spans="2:32" ht="16.5">
      <c r="B49" s="182" t="s">
        <v>414</v>
      </c>
      <c r="C49" s="183"/>
      <c r="D49" s="183">
        <v>760</v>
      </c>
      <c r="E49" s="183">
        <v>463</v>
      </c>
      <c r="F49" s="183">
        <v>694</v>
      </c>
      <c r="G49" s="183"/>
      <c r="H49" s="183">
        <v>430</v>
      </c>
      <c r="I49" s="183">
        <v>0</v>
      </c>
      <c r="J49" s="183">
        <v>0</v>
      </c>
      <c r="K49" s="183">
        <v>2.1</v>
      </c>
      <c r="L49" s="183"/>
      <c r="M49" s="183">
        <v>172</v>
      </c>
      <c r="N49" s="184">
        <v>0</v>
      </c>
      <c r="O49" s="184">
        <v>2</v>
      </c>
      <c r="P49" s="184">
        <v>1</v>
      </c>
      <c r="Q49" s="184">
        <v>1</v>
      </c>
      <c r="R49" s="184">
        <v>0</v>
      </c>
      <c r="S49" s="184">
        <v>5.2</v>
      </c>
      <c r="T49" s="184">
        <v>0</v>
      </c>
      <c r="U49" s="184">
        <v>0</v>
      </c>
      <c r="V49" s="183">
        <v>-2</v>
      </c>
      <c r="W49" s="183">
        <v>4</v>
      </c>
      <c r="X49" s="182" t="str">
        <f>Table24[[#This Row],[Raw Material]]</f>
        <v>M40 B</v>
      </c>
      <c r="AC49" s="125" t="s">
        <v>238</v>
      </c>
      <c r="AD49" s="52" t="s">
        <v>372</v>
      </c>
      <c r="AE49" s="48" t="s">
        <v>239</v>
      </c>
      <c r="AF49" s="48"/>
    </row>
    <row r="50" spans="2:32" ht="16.5">
      <c r="B50" s="182"/>
      <c r="C50" s="183"/>
      <c r="D50" s="183"/>
      <c r="E50" s="183"/>
      <c r="F50" s="183"/>
      <c r="G50" s="183"/>
      <c r="H50" s="183"/>
      <c r="I50" s="183"/>
      <c r="J50" s="183"/>
      <c r="K50" s="183"/>
      <c r="L50" s="183"/>
      <c r="M50" s="183"/>
      <c r="N50" s="184"/>
      <c r="O50" s="184">
        <v>2</v>
      </c>
      <c r="P50" s="184">
        <v>1</v>
      </c>
      <c r="Q50" s="184">
        <v>1</v>
      </c>
      <c r="R50" s="184">
        <v>0</v>
      </c>
      <c r="S50" s="184">
        <v>5.2</v>
      </c>
      <c r="T50" s="184">
        <v>0</v>
      </c>
      <c r="U50" s="184">
        <v>0</v>
      </c>
      <c r="V50" s="183">
        <v>-2</v>
      </c>
      <c r="W50" s="183">
        <v>4</v>
      </c>
      <c r="X50" s="182">
        <f>Table24[[#This Row],[Raw Material]]</f>
        <v>0</v>
      </c>
      <c r="AC50" s="136" t="s">
        <v>237</v>
      </c>
      <c r="AD50" s="121" t="s">
        <v>125</v>
      </c>
      <c r="AE50" s="48"/>
      <c r="AF50" s="48"/>
    </row>
    <row r="51" spans="2:32" ht="16.5">
      <c r="B51" s="182"/>
      <c r="C51" s="183"/>
      <c r="D51" s="183"/>
      <c r="E51" s="183"/>
      <c r="F51" s="183"/>
      <c r="G51" s="183"/>
      <c r="H51" s="183"/>
      <c r="I51" s="183"/>
      <c r="J51" s="183"/>
      <c r="K51" s="183"/>
      <c r="L51" s="183"/>
      <c r="M51" s="183"/>
      <c r="N51" s="182"/>
      <c r="O51" s="182"/>
      <c r="P51" s="182"/>
      <c r="Q51" s="182"/>
      <c r="R51" s="182"/>
      <c r="S51" s="182"/>
      <c r="T51" s="182"/>
      <c r="U51" s="182"/>
      <c r="V51" s="183"/>
      <c r="W51" s="183"/>
      <c r="X51" s="182">
        <f>Table24[[#This Row],[Raw Material]]</f>
        <v>0</v>
      </c>
      <c r="AC51" s="46" t="s">
        <v>215</v>
      </c>
      <c r="AD51" s="121" t="s">
        <v>203</v>
      </c>
      <c r="AE51" s="48"/>
      <c r="AF51" s="48"/>
    </row>
    <row r="52" spans="2:32" ht="16.5">
      <c r="B52" s="182"/>
      <c r="C52" s="183"/>
      <c r="D52" s="183"/>
      <c r="E52" s="183"/>
      <c r="F52" s="183"/>
      <c r="G52" s="183"/>
      <c r="H52" s="183"/>
      <c r="I52" s="183"/>
      <c r="J52" s="183"/>
      <c r="K52" s="183"/>
      <c r="L52" s="183"/>
      <c r="M52" s="183"/>
      <c r="N52" s="182"/>
      <c r="O52" s="182"/>
      <c r="P52" s="182"/>
      <c r="Q52" s="182"/>
      <c r="R52" s="182"/>
      <c r="S52" s="182"/>
      <c r="T52" s="182"/>
      <c r="U52" s="182"/>
      <c r="V52" s="183"/>
      <c r="W52" s="183"/>
      <c r="X52" s="182">
        <f>Table24[[#This Row],[Raw Material]]</f>
        <v>0</v>
      </c>
      <c r="AC52" s="46" t="s">
        <v>247</v>
      </c>
      <c r="AD52" s="121" t="s">
        <v>214</v>
      </c>
      <c r="AE52" s="48"/>
      <c r="AF52" s="48"/>
    </row>
    <row r="53" spans="2:32" ht="16.5">
      <c r="B53" s="182"/>
      <c r="C53" s="183"/>
      <c r="D53" s="183"/>
      <c r="E53" s="183"/>
      <c r="F53" s="183"/>
      <c r="G53" s="183"/>
      <c r="H53" s="183"/>
      <c r="I53" s="183"/>
      <c r="J53" s="183"/>
      <c r="K53" s="183"/>
      <c r="L53" s="183"/>
      <c r="M53" s="183"/>
      <c r="N53" s="182"/>
      <c r="O53" s="182"/>
      <c r="P53" s="182"/>
      <c r="Q53" s="182"/>
      <c r="R53" s="182"/>
      <c r="S53" s="182"/>
      <c r="T53" s="182"/>
      <c r="U53" s="182"/>
      <c r="V53" s="183"/>
      <c r="W53" s="183"/>
      <c r="X53" s="182">
        <f>Table24[[#This Row],[Raw Material]]</f>
        <v>0</v>
      </c>
      <c r="AC53" s="46" t="s">
        <v>345</v>
      </c>
      <c r="AD53" s="121" t="s">
        <v>272</v>
      </c>
      <c r="AE53" s="48"/>
      <c r="AF53" s="48"/>
    </row>
    <row r="54" spans="2:32" ht="16.5">
      <c r="B54" s="182"/>
      <c r="C54" s="183"/>
      <c r="D54" s="183"/>
      <c r="E54" s="183"/>
      <c r="F54" s="183"/>
      <c r="G54" s="183"/>
      <c r="H54" s="183"/>
      <c r="I54" s="183"/>
      <c r="J54" s="183"/>
      <c r="K54" s="183"/>
      <c r="L54" s="183"/>
      <c r="M54" s="183"/>
      <c r="N54" s="182"/>
      <c r="O54" s="182"/>
      <c r="P54" s="182"/>
      <c r="Q54" s="182"/>
      <c r="R54" s="182"/>
      <c r="S54" s="182"/>
      <c r="T54" s="182"/>
      <c r="U54" s="182"/>
      <c r="V54" s="183"/>
      <c r="W54" s="183"/>
      <c r="X54" s="182">
        <f>Table24[[#This Row],[Raw Material]]</f>
        <v>0</v>
      </c>
      <c r="AC54" s="46" t="s">
        <v>144</v>
      </c>
      <c r="AD54" s="121" t="s">
        <v>138</v>
      </c>
      <c r="AE54" s="48"/>
      <c r="AF54" s="48"/>
    </row>
    <row r="55" spans="2:32" ht="16.5">
      <c r="B55" s="182"/>
      <c r="C55" s="183"/>
      <c r="D55" s="183"/>
      <c r="E55" s="183"/>
      <c r="F55" s="183"/>
      <c r="G55" s="183"/>
      <c r="H55" s="183"/>
      <c r="I55" s="183"/>
      <c r="J55" s="183"/>
      <c r="K55" s="183"/>
      <c r="L55" s="183"/>
      <c r="M55" s="183"/>
      <c r="N55" s="182"/>
      <c r="O55" s="182"/>
      <c r="P55" s="182"/>
      <c r="Q55" s="182"/>
      <c r="R55" s="182"/>
      <c r="S55" s="182"/>
      <c r="T55" s="182"/>
      <c r="U55" s="182"/>
      <c r="V55" s="183"/>
      <c r="W55" s="183"/>
      <c r="X55" s="182">
        <f>Table24[[#This Row],[Raw Material]]</f>
        <v>0</v>
      </c>
      <c r="AC55" s="46" t="s">
        <v>145</v>
      </c>
      <c r="AD55" s="52" t="s">
        <v>413</v>
      </c>
      <c r="AE55" s="48"/>
      <c r="AF55" s="48"/>
    </row>
    <row r="56" spans="2:32" ht="16.5">
      <c r="B56" s="182"/>
      <c r="C56" s="183"/>
      <c r="D56" s="183"/>
      <c r="E56" s="183"/>
      <c r="F56" s="183"/>
      <c r="G56" s="183"/>
      <c r="H56" s="183"/>
      <c r="I56" s="183"/>
      <c r="J56" s="183"/>
      <c r="K56" s="183"/>
      <c r="L56" s="183"/>
      <c r="M56" s="183"/>
      <c r="N56" s="182"/>
      <c r="O56" s="182"/>
      <c r="P56" s="182"/>
      <c r="Q56" s="182"/>
      <c r="R56" s="182"/>
      <c r="S56" s="182"/>
      <c r="T56" s="182"/>
      <c r="U56" s="182"/>
      <c r="V56" s="183"/>
      <c r="W56" s="183"/>
      <c r="X56" s="182">
        <f>Table24[[#This Row],[Raw Material]]</f>
        <v>0</v>
      </c>
      <c r="AC56" s="46" t="s">
        <v>334</v>
      </c>
      <c r="AD56" s="121" t="s">
        <v>128</v>
      </c>
      <c r="AE56" s="48"/>
      <c r="AF56" s="48"/>
    </row>
    <row r="57" spans="2:32" ht="16.5">
      <c r="B57" s="182"/>
      <c r="C57" s="183"/>
      <c r="D57" s="183"/>
      <c r="E57" s="183"/>
      <c r="F57" s="183"/>
      <c r="G57" s="183"/>
      <c r="H57" s="183"/>
      <c r="I57" s="183"/>
      <c r="J57" s="183"/>
      <c r="K57" s="183"/>
      <c r="L57" s="183"/>
      <c r="M57" s="183"/>
      <c r="N57" s="182"/>
      <c r="O57" s="182"/>
      <c r="P57" s="182"/>
      <c r="Q57" s="182"/>
      <c r="R57" s="182"/>
      <c r="S57" s="182"/>
      <c r="T57" s="182"/>
      <c r="U57" s="182"/>
      <c r="V57" s="183"/>
      <c r="W57" s="183"/>
      <c r="X57" s="182">
        <f>Table24[[#This Row],[Raw Material]]</f>
        <v>0</v>
      </c>
      <c r="AC57" s="46" t="s">
        <v>188</v>
      </c>
      <c r="AD57" s="121" t="s">
        <v>346</v>
      </c>
      <c r="AE57" s="48"/>
      <c r="AF57" s="48"/>
    </row>
    <row r="58" spans="2:32" ht="16.5">
      <c r="B58" s="182"/>
      <c r="C58" s="183"/>
      <c r="D58" s="183"/>
      <c r="E58" s="183"/>
      <c r="F58" s="183"/>
      <c r="G58" s="183"/>
      <c r="H58" s="183"/>
      <c r="I58" s="183"/>
      <c r="J58" s="183"/>
      <c r="K58" s="183"/>
      <c r="L58" s="183"/>
      <c r="M58" s="183"/>
      <c r="N58" s="182"/>
      <c r="O58" s="182"/>
      <c r="P58" s="182"/>
      <c r="Q58" s="182"/>
      <c r="R58" s="182"/>
      <c r="S58" s="182"/>
      <c r="T58" s="182"/>
      <c r="U58" s="182"/>
      <c r="V58" s="183"/>
      <c r="W58" s="183"/>
      <c r="X58" s="182">
        <f>Table24[[#This Row],[Raw Material]]</f>
        <v>0</v>
      </c>
      <c r="AC58" s="46" t="s">
        <v>114</v>
      </c>
      <c r="AD58" s="121" t="s">
        <v>129</v>
      </c>
      <c r="AE58" s="48"/>
      <c r="AF58" s="48"/>
    </row>
    <row r="59" spans="2:32" ht="16.5">
      <c r="B59" s="182"/>
      <c r="C59" s="183"/>
      <c r="D59" s="183"/>
      <c r="E59" s="183"/>
      <c r="F59" s="183"/>
      <c r="G59" s="183"/>
      <c r="H59" s="183"/>
      <c r="I59" s="183"/>
      <c r="J59" s="183"/>
      <c r="K59" s="183"/>
      <c r="L59" s="183"/>
      <c r="M59" s="183"/>
      <c r="N59" s="182"/>
      <c r="O59" s="182"/>
      <c r="P59" s="182"/>
      <c r="Q59" s="182"/>
      <c r="R59" s="182"/>
      <c r="S59" s="182"/>
      <c r="T59" s="182"/>
      <c r="U59" s="182"/>
      <c r="V59" s="183"/>
      <c r="W59" s="183"/>
      <c r="X59" s="182">
        <f>Table24[[#This Row],[Raw Material]]</f>
        <v>0</v>
      </c>
      <c r="AC59" s="46" t="s">
        <v>146</v>
      </c>
      <c r="AD59" s="121" t="s">
        <v>147</v>
      </c>
      <c r="AE59" s="48"/>
      <c r="AF59" s="48"/>
    </row>
    <row r="60" spans="2:32" ht="16.5">
      <c r="B60" s="182"/>
      <c r="C60" s="183"/>
      <c r="D60" s="183"/>
      <c r="E60" s="183"/>
      <c r="F60" s="183"/>
      <c r="G60" s="183"/>
      <c r="H60" s="183"/>
      <c r="I60" s="183"/>
      <c r="J60" s="183"/>
      <c r="K60" s="183"/>
      <c r="L60" s="183"/>
      <c r="M60" s="183"/>
      <c r="N60" s="184"/>
      <c r="O60" s="184"/>
      <c r="P60" s="184"/>
      <c r="Q60" s="184"/>
      <c r="R60" s="184"/>
      <c r="S60" s="184"/>
      <c r="T60" s="184"/>
      <c r="U60" s="184"/>
      <c r="V60" s="183"/>
      <c r="W60" s="183"/>
      <c r="X60" s="182">
        <f>Table24[[#This Row],[Raw Material]]</f>
        <v>0</v>
      </c>
      <c r="AC60" s="46" t="s">
        <v>171</v>
      </c>
      <c r="AD60" s="121" t="s">
        <v>172</v>
      </c>
      <c r="AE60" s="48"/>
      <c r="AF60" s="48"/>
    </row>
    <row r="61" spans="2:32" ht="16.5">
      <c r="B61" s="182"/>
      <c r="C61" s="183"/>
      <c r="D61" s="183"/>
      <c r="E61" s="183"/>
      <c r="F61" s="183"/>
      <c r="G61" s="183"/>
      <c r="H61" s="183"/>
      <c r="I61" s="183"/>
      <c r="J61" s="183"/>
      <c r="K61" s="183"/>
      <c r="L61" s="183"/>
      <c r="M61" s="183"/>
      <c r="N61" s="182"/>
      <c r="O61" s="182"/>
      <c r="P61" s="182"/>
      <c r="Q61" s="182"/>
      <c r="R61" s="182"/>
      <c r="S61" s="182"/>
      <c r="T61" s="182"/>
      <c r="U61" s="182"/>
      <c r="V61" s="183"/>
      <c r="W61" s="183"/>
      <c r="X61" s="182">
        <f>Table24[[#This Row],[Raw Material]]</f>
        <v>0</v>
      </c>
      <c r="AC61" s="46" t="s">
        <v>126</v>
      </c>
      <c r="AD61" s="121" t="s">
        <v>232</v>
      </c>
      <c r="AE61" s="48"/>
      <c r="AF61" s="48"/>
    </row>
    <row r="62" spans="2:32" ht="16.5">
      <c r="B62" s="182"/>
      <c r="C62" s="183"/>
      <c r="D62" s="183"/>
      <c r="E62" s="183"/>
      <c r="F62" s="183"/>
      <c r="G62" s="183"/>
      <c r="H62" s="183"/>
      <c r="I62" s="183"/>
      <c r="J62" s="183"/>
      <c r="K62" s="183"/>
      <c r="L62" s="183"/>
      <c r="M62" s="183"/>
      <c r="N62" s="182"/>
      <c r="O62" s="182"/>
      <c r="P62" s="182"/>
      <c r="Q62" s="182"/>
      <c r="R62" s="182"/>
      <c r="S62" s="182"/>
      <c r="T62" s="182"/>
      <c r="U62" s="182"/>
      <c r="V62" s="183"/>
      <c r="W62" s="183"/>
      <c r="X62" s="182">
        <f>Table24[[#This Row],[Raw Material]]</f>
        <v>0</v>
      </c>
      <c r="AC62" s="46" t="s">
        <v>148</v>
      </c>
      <c r="AD62" s="121" t="s">
        <v>149</v>
      </c>
      <c r="AE62" s="48"/>
      <c r="AF62" s="48"/>
    </row>
    <row r="63" spans="2:32" ht="16.5">
      <c r="B63" s="182"/>
      <c r="C63" s="183"/>
      <c r="D63" s="183"/>
      <c r="E63" s="183"/>
      <c r="F63" s="183"/>
      <c r="G63" s="183"/>
      <c r="H63" s="183"/>
      <c r="I63" s="183"/>
      <c r="J63" s="183"/>
      <c r="K63" s="183"/>
      <c r="L63" s="183"/>
      <c r="M63" s="183"/>
      <c r="N63" s="182"/>
      <c r="O63" s="182"/>
      <c r="P63" s="182"/>
      <c r="Q63" s="182"/>
      <c r="R63" s="182"/>
      <c r="S63" s="182"/>
      <c r="T63" s="182"/>
      <c r="U63" s="182"/>
      <c r="V63" s="183"/>
      <c r="W63" s="183"/>
      <c r="X63" s="182">
        <f>Table24[[#This Row],[Raw Material]]</f>
        <v>0</v>
      </c>
      <c r="AC63" s="46" t="s">
        <v>115</v>
      </c>
      <c r="AD63" s="121" t="s">
        <v>173</v>
      </c>
      <c r="AE63" s="48"/>
      <c r="AF63" s="48"/>
    </row>
    <row r="64" spans="2:32" ht="16.5">
      <c r="B64" s="182"/>
      <c r="C64" s="183"/>
      <c r="D64" s="183"/>
      <c r="E64" s="183"/>
      <c r="F64" s="183"/>
      <c r="G64" s="183"/>
      <c r="H64" s="183"/>
      <c r="I64" s="183"/>
      <c r="J64" s="183"/>
      <c r="K64" s="183"/>
      <c r="L64" s="183"/>
      <c r="M64" s="183"/>
      <c r="N64" s="182"/>
      <c r="O64" s="182"/>
      <c r="P64" s="182"/>
      <c r="Q64" s="182"/>
      <c r="R64" s="182"/>
      <c r="S64" s="182"/>
      <c r="T64" s="182"/>
      <c r="U64" s="182"/>
      <c r="V64" s="183"/>
      <c r="W64" s="183"/>
      <c r="X64" s="182">
        <f>Table24[[#This Row],[Raw Material]]</f>
        <v>0</v>
      </c>
      <c r="AC64" s="46" t="s">
        <v>187</v>
      </c>
      <c r="AD64" s="121" t="s">
        <v>150</v>
      </c>
      <c r="AE64" s="48"/>
      <c r="AF64" s="48"/>
    </row>
    <row r="65" spans="2:32" ht="16.5">
      <c r="B65" s="182" t="s">
        <v>417</v>
      </c>
      <c r="C65" s="183"/>
      <c r="D65" s="183">
        <v>800</v>
      </c>
      <c r="E65" s="183">
        <v>500</v>
      </c>
      <c r="F65" s="183">
        <v>600</v>
      </c>
      <c r="G65" s="183"/>
      <c r="H65" s="183">
        <v>400</v>
      </c>
      <c r="I65" s="183">
        <v>0</v>
      </c>
      <c r="J65" s="183">
        <v>80</v>
      </c>
      <c r="K65" s="183">
        <v>2.5</v>
      </c>
      <c r="L65" s="183">
        <v>0</v>
      </c>
      <c r="M65" s="183">
        <v>160</v>
      </c>
      <c r="N65" s="182">
        <v>0</v>
      </c>
      <c r="O65" s="182">
        <v>2</v>
      </c>
      <c r="P65" s="182">
        <v>1</v>
      </c>
      <c r="Q65" s="182">
        <v>1</v>
      </c>
      <c r="R65" s="182">
        <v>0</v>
      </c>
      <c r="S65" s="182">
        <v>5.2</v>
      </c>
      <c r="T65" s="182">
        <v>0</v>
      </c>
      <c r="U65" s="182">
        <v>0</v>
      </c>
      <c r="V65" s="183">
        <v>-2</v>
      </c>
      <c r="W65" s="183">
        <v>4</v>
      </c>
      <c r="X65" s="182" t="str">
        <f>Table24[[#This Row],[Raw Material]]</f>
        <v>TEST</v>
      </c>
      <c r="AC65" s="46" t="s">
        <v>116</v>
      </c>
      <c r="AD65" s="121" t="s">
        <v>151</v>
      </c>
      <c r="AE65" s="48"/>
      <c r="AF65" s="48"/>
    </row>
    <row r="66" spans="2:32" ht="16.5">
      <c r="AC66" s="46" t="s">
        <v>117</v>
      </c>
      <c r="AD66" s="121" t="s">
        <v>152</v>
      </c>
      <c r="AE66" s="48"/>
      <c r="AF66" s="48"/>
    </row>
    <row r="67" spans="2:32" ht="16.5">
      <c r="AC67" s="46" t="s">
        <v>118</v>
      </c>
      <c r="AD67" s="121" t="s">
        <v>156</v>
      </c>
      <c r="AE67" s="48"/>
      <c r="AF67" s="48"/>
    </row>
    <row r="68" spans="2:32" ht="16.5">
      <c r="AC68" s="46" t="s">
        <v>119</v>
      </c>
      <c r="AD68" s="52" t="s">
        <v>195</v>
      </c>
      <c r="AE68" s="48"/>
      <c r="AF68" s="48"/>
    </row>
    <row r="69" spans="2:32" ht="16.5">
      <c r="AC69" s="46" t="s">
        <v>120</v>
      </c>
      <c r="AD69" s="52" t="s">
        <v>342</v>
      </c>
      <c r="AE69" s="48"/>
      <c r="AF69" s="48"/>
    </row>
    <row r="70" spans="2:32" ht="16.5">
      <c r="AC70" s="46" t="s">
        <v>391</v>
      </c>
      <c r="AD70" s="52" t="s">
        <v>392</v>
      </c>
      <c r="AE70" s="48"/>
      <c r="AF70" s="48"/>
    </row>
    <row r="71" spans="2:32" ht="16.5">
      <c r="AC71" s="48" t="s">
        <v>356</v>
      </c>
      <c r="AD71" s="52" t="s">
        <v>309</v>
      </c>
      <c r="AE71" s="48"/>
      <c r="AF71" s="48"/>
    </row>
    <row r="72" spans="2:32" ht="16.5">
      <c r="AC72" s="46" t="s">
        <v>121</v>
      </c>
      <c r="AD72" s="52" t="s">
        <v>408</v>
      </c>
      <c r="AE72" s="48"/>
      <c r="AF72" s="48"/>
    </row>
    <row r="73" spans="2:32" ht="16.5">
      <c r="AC73" s="46" t="s">
        <v>111</v>
      </c>
      <c r="AD73" s="52" t="s">
        <v>165</v>
      </c>
      <c r="AE73" s="48"/>
      <c r="AF73" s="48"/>
    </row>
    <row r="74" spans="2:32" ht="16.5">
      <c r="AC74" s="46" t="s">
        <v>122</v>
      </c>
      <c r="AD74" s="52" t="s">
        <v>170</v>
      </c>
      <c r="AE74" s="48"/>
      <c r="AF74" s="48"/>
    </row>
    <row r="75" spans="2:32" ht="16.5">
      <c r="AC75" s="46" t="s">
        <v>123</v>
      </c>
      <c r="AD75" s="52" t="s">
        <v>176</v>
      </c>
      <c r="AE75" s="48"/>
      <c r="AF75" s="48"/>
    </row>
    <row r="76" spans="2:32" ht="16.5">
      <c r="AC76" s="49" t="s">
        <v>153</v>
      </c>
      <c r="AD76" s="52" t="s">
        <v>179</v>
      </c>
      <c r="AE76" s="48"/>
      <c r="AF76" s="48"/>
    </row>
    <row r="77" spans="2:32" ht="16.5">
      <c r="AC77" s="46" t="s">
        <v>391</v>
      </c>
      <c r="AD77" s="121" t="s">
        <v>184</v>
      </c>
      <c r="AE77" s="48"/>
      <c r="AF77" s="48"/>
    </row>
    <row r="78" spans="2:32" ht="16.5">
      <c r="AC78" s="49" t="s">
        <v>154</v>
      </c>
      <c r="AD78" s="121" t="s">
        <v>314</v>
      </c>
      <c r="AE78" s="48"/>
      <c r="AF78" s="48"/>
    </row>
    <row r="79" spans="2:32" ht="16.5">
      <c r="AC79" s="49" t="s">
        <v>155</v>
      </c>
      <c r="AD79" s="121" t="s">
        <v>149</v>
      </c>
      <c r="AE79" s="48"/>
      <c r="AF79" s="48"/>
    </row>
    <row r="80" spans="2:32" ht="16.5">
      <c r="AC80" s="49" t="s">
        <v>264</v>
      </c>
      <c r="AD80" s="52" t="s">
        <v>198</v>
      </c>
      <c r="AE80" s="48"/>
      <c r="AF80" s="48"/>
    </row>
    <row r="81" spans="29:32" ht="16.5">
      <c r="AC81" s="49" t="s">
        <v>161</v>
      </c>
      <c r="AD81" s="52" t="s">
        <v>200</v>
      </c>
      <c r="AE81" s="48"/>
      <c r="AF81" s="48"/>
    </row>
    <row r="82" spans="29:32" ht="16.5">
      <c r="AC82" s="49" t="s">
        <v>208</v>
      </c>
      <c r="AD82" s="52" t="s">
        <v>217</v>
      </c>
      <c r="AE82" s="48"/>
      <c r="AF82" s="48"/>
    </row>
    <row r="83" spans="29:32" ht="16.5">
      <c r="AC83" s="48" t="s">
        <v>296</v>
      </c>
      <c r="AD83" s="52" t="s">
        <v>223</v>
      </c>
      <c r="AE83" s="48"/>
      <c r="AF83" s="48"/>
    </row>
    <row r="84" spans="29:32" ht="16.5">
      <c r="AC84" s="49" t="s">
        <v>167</v>
      </c>
      <c r="AD84" s="52" t="s">
        <v>194</v>
      </c>
      <c r="AE84" s="48"/>
      <c r="AF84" s="48"/>
    </row>
    <row r="85" spans="29:32" ht="16.5">
      <c r="AC85" s="49" t="s">
        <v>164</v>
      </c>
      <c r="AD85" s="52" t="s">
        <v>249</v>
      </c>
      <c r="AE85" s="48"/>
      <c r="AF85" s="48"/>
    </row>
    <row r="86" spans="29:32" ht="16.5">
      <c r="AC86" s="50" t="s">
        <v>166</v>
      </c>
      <c r="AD86" s="52" t="s">
        <v>253</v>
      </c>
      <c r="AE86" s="48"/>
      <c r="AF86" s="48"/>
    </row>
    <row r="87" spans="29:32" ht="16.5">
      <c r="AC87" s="50" t="s">
        <v>168</v>
      </c>
      <c r="AD87" s="52" t="s">
        <v>263</v>
      </c>
      <c r="AE87" s="48"/>
      <c r="AF87" s="48"/>
    </row>
    <row r="88" spans="29:32" ht="16.5">
      <c r="AC88" s="50" t="s">
        <v>169</v>
      </c>
      <c r="AD88" s="52" t="s">
        <v>266</v>
      </c>
      <c r="AE88" s="48"/>
      <c r="AF88" s="48"/>
    </row>
    <row r="89" spans="29:32" ht="16.5">
      <c r="AC89" s="50" t="s">
        <v>175</v>
      </c>
      <c r="AD89" s="52" t="s">
        <v>268</v>
      </c>
      <c r="AE89" s="48"/>
      <c r="AF89" s="48"/>
    </row>
    <row r="90" spans="29:32" ht="16.5">
      <c r="AC90" s="50" t="s">
        <v>177</v>
      </c>
      <c r="AD90" s="52" t="s">
        <v>271</v>
      </c>
      <c r="AE90" s="48"/>
      <c r="AF90" s="48"/>
    </row>
    <row r="91" spans="29:32" ht="16.5">
      <c r="AC91" s="50" t="s">
        <v>178</v>
      </c>
      <c r="AD91" s="52" t="s">
        <v>211</v>
      </c>
      <c r="AE91" s="48"/>
      <c r="AF91" s="48"/>
    </row>
    <row r="92" spans="29:32" ht="16.5">
      <c r="AC92" s="50" t="s">
        <v>180</v>
      </c>
      <c r="AD92" s="52" t="s">
        <v>274</v>
      </c>
      <c r="AE92" s="48"/>
      <c r="AF92" s="48"/>
    </row>
    <row r="93" spans="29:32" ht="16.5">
      <c r="AC93" s="50" t="s">
        <v>181</v>
      </c>
      <c r="AD93" s="52" t="s">
        <v>213</v>
      </c>
      <c r="AE93" s="48"/>
      <c r="AF93" s="48"/>
    </row>
    <row r="94" spans="29:32" ht="16.5">
      <c r="AC94" s="50" t="s">
        <v>183</v>
      </c>
      <c r="AD94" s="52" t="s">
        <v>279</v>
      </c>
      <c r="AE94" s="48"/>
      <c r="AF94" s="48"/>
    </row>
    <row r="95" spans="29:32" ht="16.5">
      <c r="AC95" s="50" t="s">
        <v>185</v>
      </c>
      <c r="AD95" s="52" t="s">
        <v>335</v>
      </c>
      <c r="AE95" s="48"/>
      <c r="AF95" s="48"/>
    </row>
    <row r="96" spans="29:32" ht="16.5">
      <c r="AC96" s="50" t="s">
        <v>190</v>
      </c>
      <c r="AD96" s="52" t="s">
        <v>184</v>
      </c>
      <c r="AE96" s="48"/>
      <c r="AF96" s="48"/>
    </row>
    <row r="97" spans="29:32" ht="16.5">
      <c r="AC97" s="50" t="s">
        <v>191</v>
      </c>
      <c r="AD97" s="52" t="s">
        <v>293</v>
      </c>
      <c r="AE97" s="48"/>
      <c r="AF97" s="48"/>
    </row>
    <row r="98" spans="29:32" ht="16.5">
      <c r="AC98" s="50" t="s">
        <v>193</v>
      </c>
      <c r="AD98" s="52" t="s">
        <v>194</v>
      </c>
      <c r="AE98" s="48"/>
      <c r="AF98" s="48"/>
    </row>
    <row r="99" spans="29:32" ht="16.5">
      <c r="AC99" s="50" t="s">
        <v>193</v>
      </c>
      <c r="AD99" s="52" t="s">
        <v>314</v>
      </c>
      <c r="AE99" s="48"/>
      <c r="AF99" s="48"/>
    </row>
    <row r="100" spans="29:32" ht="16.5">
      <c r="AC100" s="50" t="s">
        <v>196</v>
      </c>
      <c r="AD100" s="52" t="s">
        <v>313</v>
      </c>
      <c r="AE100" s="48"/>
      <c r="AF100" s="48"/>
    </row>
    <row r="101" spans="29:32" ht="16.5">
      <c r="AC101" s="50" t="s">
        <v>197</v>
      </c>
      <c r="AD101" s="52" t="s">
        <v>314</v>
      </c>
      <c r="AE101" s="48"/>
      <c r="AF101" s="48"/>
    </row>
    <row r="102" spans="29:32" ht="16.5">
      <c r="AC102" s="50" t="s">
        <v>199</v>
      </c>
      <c r="AD102" s="52" t="s">
        <v>319</v>
      </c>
      <c r="AE102" s="48"/>
      <c r="AF102" s="48"/>
    </row>
    <row r="103" spans="29:32" ht="16.5">
      <c r="AC103" s="50" t="s">
        <v>201</v>
      </c>
      <c r="AD103" s="52" t="s">
        <v>216</v>
      </c>
      <c r="AE103" s="48"/>
      <c r="AF103" s="48"/>
    </row>
    <row r="104" spans="29:32" ht="16.5">
      <c r="AC104" s="50" t="s">
        <v>202</v>
      </c>
      <c r="AD104" s="52" t="s">
        <v>211</v>
      </c>
      <c r="AE104" s="48"/>
      <c r="AF104" s="48"/>
    </row>
    <row r="105" spans="29:32" ht="16.5">
      <c r="AC105" s="50" t="s">
        <v>212</v>
      </c>
      <c r="AD105" s="52" t="s">
        <v>163</v>
      </c>
      <c r="AE105" s="48"/>
      <c r="AF105" s="48"/>
    </row>
    <row r="106" spans="29:32" ht="16.5">
      <c r="AC106" s="50" t="s">
        <v>248</v>
      </c>
      <c r="AD106" s="52" t="s">
        <v>214</v>
      </c>
      <c r="AE106" s="48"/>
      <c r="AF106" s="48"/>
    </row>
    <row r="107" spans="29:32" ht="16.5">
      <c r="AC107" s="50" t="s">
        <v>185</v>
      </c>
      <c r="AD107" s="52" t="s">
        <v>298</v>
      </c>
      <c r="AE107" s="48"/>
      <c r="AF107" s="48"/>
    </row>
    <row r="108" spans="29:32" ht="16.5">
      <c r="AC108" s="48" t="s">
        <v>215</v>
      </c>
      <c r="AD108" s="52" t="s">
        <v>322</v>
      </c>
      <c r="AE108" s="48"/>
      <c r="AF108" s="48"/>
    </row>
    <row r="109" spans="29:32" ht="16.5">
      <c r="AC109" s="48" t="s">
        <v>219</v>
      </c>
      <c r="AD109" s="52" t="s">
        <v>218</v>
      </c>
      <c r="AE109" s="48"/>
      <c r="AF109" s="48"/>
    </row>
    <row r="110" spans="29:32" ht="16.5">
      <c r="AC110" s="48" t="s">
        <v>220</v>
      </c>
      <c r="AD110" s="52" t="s">
        <v>241</v>
      </c>
      <c r="AE110" s="48"/>
      <c r="AF110" s="48"/>
    </row>
    <row r="111" spans="29:32" ht="16.5">
      <c r="AC111" s="48" t="s">
        <v>240</v>
      </c>
      <c r="AD111" s="52" t="s">
        <v>174</v>
      </c>
      <c r="AE111" s="48"/>
      <c r="AF111" s="48"/>
    </row>
    <row r="112" spans="29:32" ht="16.5">
      <c r="AC112" s="48" t="s">
        <v>221</v>
      </c>
      <c r="AD112" s="52" t="s">
        <v>222</v>
      </c>
      <c r="AE112" s="48"/>
      <c r="AF112" s="48"/>
    </row>
    <row r="113" spans="29:32" ht="16.5">
      <c r="AC113" s="48" t="s">
        <v>250</v>
      </c>
      <c r="AD113" s="52" t="s">
        <v>271</v>
      </c>
      <c r="AE113" s="48"/>
      <c r="AF113" s="48"/>
    </row>
    <row r="114" spans="29:32" ht="16.5">
      <c r="AC114" s="48" t="s">
        <v>251</v>
      </c>
      <c r="AD114" s="52" t="s">
        <v>286</v>
      </c>
      <c r="AE114" s="48"/>
      <c r="AF114" s="48"/>
    </row>
    <row r="115" spans="29:32" ht="16.5">
      <c r="AC115" s="48" t="s">
        <v>252</v>
      </c>
      <c r="AD115" s="52" t="s">
        <v>292</v>
      </c>
      <c r="AE115" s="48"/>
      <c r="AF115" s="48"/>
    </row>
    <row r="116" spans="29:32" ht="16.5">
      <c r="AC116" s="48" t="s">
        <v>261</v>
      </c>
      <c r="AD116" s="52" t="s">
        <v>303</v>
      </c>
      <c r="AE116" s="48"/>
      <c r="AF116" s="48"/>
    </row>
    <row r="117" spans="29:32" ht="16.5">
      <c r="AC117" s="48" t="s">
        <v>265</v>
      </c>
      <c r="AD117" s="52" t="s">
        <v>324</v>
      </c>
      <c r="AE117" s="48"/>
      <c r="AF117" s="48"/>
    </row>
    <row r="118" spans="29:32" ht="16.5">
      <c r="AC118" s="48" t="s">
        <v>270</v>
      </c>
      <c r="AD118" s="52" t="s">
        <v>312</v>
      </c>
      <c r="AE118" s="48"/>
      <c r="AF118" s="48"/>
    </row>
    <row r="119" spans="29:32" ht="16.5">
      <c r="AC119" s="48" t="s">
        <v>273</v>
      </c>
      <c r="AD119" s="52" t="s">
        <v>315</v>
      </c>
      <c r="AE119" s="48"/>
      <c r="AF119" s="48"/>
    </row>
    <row r="120" spans="29:32" ht="16.5">
      <c r="AC120" s="48" t="s">
        <v>276</v>
      </c>
      <c r="AD120" s="52" t="s">
        <v>319</v>
      </c>
      <c r="AE120" s="48"/>
      <c r="AF120" s="48"/>
    </row>
    <row r="121" spans="29:32" ht="16.5">
      <c r="AC121" s="48" t="s">
        <v>277</v>
      </c>
      <c r="AD121" s="52" t="s">
        <v>324</v>
      </c>
      <c r="AE121" s="48"/>
      <c r="AF121" s="48"/>
    </row>
    <row r="122" spans="29:32" ht="16.5">
      <c r="AC122" s="48" t="s">
        <v>278</v>
      </c>
      <c r="AD122" s="52" t="s">
        <v>329</v>
      </c>
      <c r="AE122" s="48"/>
      <c r="AF122" s="48"/>
    </row>
    <row r="123" spans="29:32" ht="16.5">
      <c r="AC123" s="48" t="s">
        <v>280</v>
      </c>
      <c r="AD123" s="52" t="s">
        <v>309</v>
      </c>
      <c r="AE123" s="48"/>
      <c r="AF123" s="48"/>
    </row>
    <row r="124" spans="29:32" ht="16.5">
      <c r="AC124" s="48" t="s">
        <v>281</v>
      </c>
      <c r="AD124" s="52" t="s">
        <v>259</v>
      </c>
      <c r="AE124" s="48"/>
      <c r="AF124" s="48"/>
    </row>
    <row r="125" spans="29:32" ht="16.5">
      <c r="AC125" s="48" t="s">
        <v>282</v>
      </c>
      <c r="AD125" s="52" t="s">
        <v>310</v>
      </c>
      <c r="AE125" s="48"/>
      <c r="AF125" s="48"/>
    </row>
    <row r="126" spans="29:32" ht="16.5">
      <c r="AC126" s="171" t="s">
        <v>396</v>
      </c>
      <c r="AD126" s="171" t="s">
        <v>156</v>
      </c>
      <c r="AE126" s="48"/>
      <c r="AF126" s="48"/>
    </row>
    <row r="127" spans="29:32" ht="16.5">
      <c r="AC127" s="48" t="s">
        <v>283</v>
      </c>
      <c r="AD127" s="173" t="s">
        <v>399</v>
      </c>
      <c r="AE127" s="48"/>
      <c r="AF127" s="48"/>
    </row>
    <row r="128" spans="29:32" ht="16.5">
      <c r="AC128" s="48" t="s">
        <v>284</v>
      </c>
      <c r="AD128" s="52" t="s">
        <v>174</v>
      </c>
      <c r="AE128" s="48"/>
      <c r="AF128" s="48"/>
    </row>
    <row r="129" spans="29:32" ht="16.5">
      <c r="AC129" s="48" t="s">
        <v>285</v>
      </c>
      <c r="AD129" s="52" t="s">
        <v>348</v>
      </c>
      <c r="AE129" s="48"/>
      <c r="AF129" s="48"/>
    </row>
    <row r="130" spans="29:32" ht="16.5">
      <c r="AC130" s="48" t="s">
        <v>287</v>
      </c>
      <c r="AD130" s="52" t="s">
        <v>408</v>
      </c>
      <c r="AE130" s="48"/>
      <c r="AF130" s="48"/>
    </row>
    <row r="131" spans="29:32" ht="16.5">
      <c r="AC131" s="48" t="s">
        <v>288</v>
      </c>
      <c r="AD131" s="52" t="s">
        <v>358</v>
      </c>
      <c r="AE131" s="48"/>
      <c r="AF131" s="48"/>
    </row>
    <row r="132" spans="29:32" ht="16.5">
      <c r="AC132" s="140" t="s">
        <v>289</v>
      </c>
      <c r="AD132" s="166" t="s">
        <v>369</v>
      </c>
      <c r="AE132" s="48"/>
      <c r="AF132" s="48"/>
    </row>
    <row r="133" spans="29:32" ht="16.5">
      <c r="AC133" s="48" t="s">
        <v>290</v>
      </c>
      <c r="AD133" s="52"/>
      <c r="AE133" s="48"/>
      <c r="AF133" s="48"/>
    </row>
    <row r="134" spans="29:32">
      <c r="AC134" s="141" t="s">
        <v>291</v>
      </c>
      <c r="AD134"/>
    </row>
    <row r="135" spans="29:32" ht="16.5">
      <c r="AC135" s="48" t="s">
        <v>294</v>
      </c>
      <c r="AD135"/>
    </row>
    <row r="136" spans="29:32">
      <c r="AC136" s="142" t="s">
        <v>295</v>
      </c>
      <c r="AD136"/>
    </row>
    <row r="137" spans="29:32" ht="16.5">
      <c r="AC137" s="48" t="s">
        <v>296</v>
      </c>
      <c r="AD137"/>
    </row>
    <row r="138" spans="29:32">
      <c r="AC138" s="143" t="s">
        <v>299</v>
      </c>
      <c r="AD138"/>
    </row>
    <row r="139" spans="29:32">
      <c r="AC139" s="144" t="s">
        <v>300</v>
      </c>
      <c r="AD139"/>
    </row>
    <row r="140" spans="29:32">
      <c r="AC140" s="145" t="s">
        <v>301</v>
      </c>
      <c r="AD140"/>
    </row>
    <row r="141" spans="29:32">
      <c r="AC141" s="146" t="s">
        <v>302</v>
      </c>
      <c r="AD141"/>
    </row>
    <row r="142" spans="29:32">
      <c r="AC142" s="147" t="s">
        <v>305</v>
      </c>
      <c r="AD142"/>
    </row>
    <row r="143" spans="29:32">
      <c r="AC143" s="148" t="s">
        <v>307</v>
      </c>
      <c r="AD143"/>
    </row>
    <row r="144" spans="29:32">
      <c r="AC144" s="149" t="s">
        <v>308</v>
      </c>
      <c r="AD144"/>
    </row>
    <row r="145" spans="29:30">
      <c r="AC145" s="150" t="s">
        <v>311</v>
      </c>
      <c r="AD145" s="173" t="s">
        <v>399</v>
      </c>
    </row>
    <row r="146" spans="29:30">
      <c r="AC146" s="151" t="s">
        <v>316</v>
      </c>
      <c r="AD146"/>
    </row>
    <row r="147" spans="29:30">
      <c r="AC147" s="152" t="s">
        <v>317</v>
      </c>
      <c r="AD147"/>
    </row>
    <row r="148" spans="29:30">
      <c r="AC148" s="153" t="s">
        <v>318</v>
      </c>
      <c r="AD148"/>
    </row>
    <row r="149" spans="29:30">
      <c r="AC149" s="154" t="s">
        <v>320</v>
      </c>
      <c r="AD149"/>
    </row>
    <row r="150" spans="29:30">
      <c r="AC150" s="155" t="s">
        <v>321</v>
      </c>
      <c r="AD150" t="s">
        <v>390</v>
      </c>
    </row>
    <row r="151" spans="29:30">
      <c r="AC151" s="156" t="s">
        <v>323</v>
      </c>
      <c r="AD151"/>
    </row>
    <row r="152" spans="29:30">
      <c r="AC152" s="157" t="s">
        <v>337</v>
      </c>
      <c r="AD152"/>
    </row>
    <row r="153" spans="29:30">
      <c r="AC153" s="174" t="s">
        <v>407</v>
      </c>
      <c r="AD153"/>
    </row>
    <row r="154" spans="29:30">
      <c r="AC154" s="159" t="s">
        <v>339</v>
      </c>
      <c r="AD154"/>
    </row>
    <row r="155" spans="29:30">
      <c r="AC155" s="160" t="s">
        <v>341</v>
      </c>
      <c r="AD155"/>
    </row>
    <row r="156" spans="29:30">
      <c r="AC156" s="161" t="s">
        <v>344</v>
      </c>
      <c r="AD156"/>
    </row>
    <row r="157" spans="29:30">
      <c r="AC157" s="162" t="s">
        <v>347</v>
      </c>
      <c r="AD157"/>
    </row>
    <row r="158" spans="29:30">
      <c r="AC158" s="163" t="s">
        <v>354</v>
      </c>
      <c r="AD158"/>
    </row>
    <row r="159" spans="29:30">
      <c r="AC159" s="164" t="s">
        <v>357</v>
      </c>
      <c r="AD159"/>
    </row>
    <row r="160" spans="29:30">
      <c r="AC160" s="165" t="s">
        <v>367</v>
      </c>
      <c r="AD160"/>
    </row>
    <row r="161" spans="29:30">
      <c r="AC161" s="171"/>
      <c r="AD161" s="171"/>
    </row>
    <row r="162" spans="29:30">
      <c r="AD162"/>
    </row>
    <row r="163" spans="29:30">
      <c r="AD163"/>
    </row>
    <row r="164" spans="29:30">
      <c r="AD164"/>
    </row>
    <row r="165" spans="29:30">
      <c r="AD165"/>
    </row>
    <row r="166" spans="29:30">
      <c r="AD166"/>
    </row>
    <row r="167" spans="29:30">
      <c r="AD167"/>
    </row>
    <row r="168" spans="29:30">
      <c r="AD168"/>
    </row>
    <row r="169" spans="29:30">
      <c r="AD169"/>
    </row>
    <row r="170" spans="29:30">
      <c r="AD170"/>
    </row>
    <row r="171" spans="29:30">
      <c r="AD171"/>
    </row>
    <row r="172" spans="29:30">
      <c r="AD172"/>
    </row>
    <row r="173" spans="29:30">
      <c r="AD173"/>
    </row>
    <row r="174" spans="29:30">
      <c r="AD174"/>
    </row>
    <row r="175" spans="29:30">
      <c r="AD175"/>
    </row>
    <row r="176" spans="29:30">
      <c r="AD176"/>
    </row>
    <row r="177" spans="30:30">
      <c r="AD177"/>
    </row>
    <row r="178" spans="30:30">
      <c r="AD178"/>
    </row>
    <row r="179" spans="30:30">
      <c r="AD179"/>
    </row>
    <row r="180" spans="30:30">
      <c r="AD180"/>
    </row>
    <row r="181" spans="30:30">
      <c r="AD181"/>
    </row>
    <row r="182" spans="30:30">
      <c r="AD182"/>
    </row>
    <row r="183" spans="30:30">
      <c r="AD183"/>
    </row>
    <row r="184" spans="30:30">
      <c r="AD184"/>
    </row>
    <row r="185" spans="30:30">
      <c r="AD185"/>
    </row>
    <row r="186" spans="30:30">
      <c r="AD186"/>
    </row>
    <row r="187" spans="30:30">
      <c r="AD187"/>
    </row>
    <row r="188" spans="30:30">
      <c r="AD188"/>
    </row>
    <row r="189" spans="30:30">
      <c r="AD189"/>
    </row>
    <row r="190" spans="30:30">
      <c r="AD190"/>
    </row>
  </sheetData>
  <sortState xmlns:xlrd2="http://schemas.microsoft.com/office/spreadsheetml/2017/richdata2" ref="AD4:AD62">
    <sortCondition ref="AD4:AD62"/>
  </sortState>
  <mergeCells count="4">
    <mergeCell ref="N2:Q2"/>
    <mergeCell ref="R2:U2"/>
    <mergeCell ref="V2:W2"/>
    <mergeCell ref="AF4:AI4"/>
  </mergeCells>
  <phoneticPr fontId="78" type="noConversion"/>
  <pageMargins left="0.7" right="0.7" top="0.75" bottom="0.75" header="0.3" footer="0.3"/>
  <pageSetup scale="76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>
    <tabColor theme="0" tint="-0.14999847407452621"/>
  </sheetPr>
  <dimension ref="B1:U56"/>
  <sheetViews>
    <sheetView showGridLines="0" zoomScaleNormal="100" workbookViewId="0">
      <selection activeCell="X13" sqref="X13"/>
    </sheetView>
  </sheetViews>
  <sheetFormatPr defaultColWidth="8.7265625" defaultRowHeight="14"/>
  <cols>
    <col min="1" max="1" width="4" style="5" customWidth="1"/>
    <col min="2" max="2" width="2.453125" style="5" customWidth="1"/>
    <col min="3" max="3" width="4.7265625" style="5" customWidth="1"/>
    <col min="4" max="4" width="6.453125" style="5" customWidth="1"/>
    <col min="5" max="7" width="2.54296875" style="5" customWidth="1"/>
    <col min="8" max="8" width="7.453125" style="5" customWidth="1"/>
    <col min="9" max="9" width="2.7265625" style="5" customWidth="1"/>
    <col min="10" max="10" width="4.1796875" style="5" customWidth="1"/>
    <col min="11" max="13" width="8.1796875" style="5" customWidth="1"/>
    <col min="14" max="14" width="9.54296875" style="5" customWidth="1"/>
    <col min="15" max="16" width="4.54296875" style="5" customWidth="1"/>
    <col min="17" max="17" width="10.453125" style="5" customWidth="1"/>
    <col min="18" max="19" width="4.7265625" style="5" customWidth="1"/>
    <col min="20" max="20" width="7.1796875" style="5" customWidth="1"/>
    <col min="21" max="21" width="3.26953125" style="5" customWidth="1"/>
    <col min="22" max="22" width="6.453125" style="5" customWidth="1"/>
    <col min="23" max="16384" width="8.7265625" style="5"/>
  </cols>
  <sheetData>
    <row r="1" spans="2:21" ht="8.15" customHeight="1"/>
    <row r="2" spans="2:21" ht="20">
      <c r="B2" s="300" t="s">
        <v>22</v>
      </c>
      <c r="C2" s="300"/>
      <c r="D2" s="300"/>
      <c r="E2" s="300"/>
      <c r="F2" s="300"/>
      <c r="G2" s="300"/>
      <c r="H2" s="300"/>
      <c r="I2" s="300"/>
      <c r="J2" s="300"/>
      <c r="K2" s="300"/>
      <c r="L2" s="300"/>
      <c r="M2" s="300"/>
      <c r="N2" s="300"/>
      <c r="O2" s="300"/>
      <c r="P2" s="300"/>
      <c r="Q2" s="300"/>
      <c r="R2" s="300"/>
      <c r="S2" s="300"/>
      <c r="T2" s="300"/>
      <c r="U2" s="300"/>
    </row>
    <row r="3" spans="2:21" ht="16" customHeight="1">
      <c r="E3" s="282" t="s">
        <v>23</v>
      </c>
      <c r="F3" s="282"/>
      <c r="G3" s="282"/>
      <c r="H3" s="282"/>
      <c r="I3" s="282"/>
      <c r="J3" s="282"/>
      <c r="K3" s="282"/>
      <c r="L3" s="282"/>
      <c r="M3" s="282"/>
      <c r="N3" s="282"/>
      <c r="O3" s="282"/>
      <c r="P3" s="282"/>
      <c r="Q3" s="282"/>
    </row>
    <row r="4" spans="2:21" ht="16" customHeight="1">
      <c r="E4" s="282"/>
      <c r="F4" s="282"/>
      <c r="G4" s="282"/>
      <c r="H4" s="282"/>
      <c r="I4" s="282"/>
      <c r="J4" s="282"/>
      <c r="K4" s="282"/>
      <c r="L4" s="282"/>
      <c r="M4" s="282"/>
      <c r="N4" s="282"/>
      <c r="O4" s="282"/>
      <c r="P4" s="282"/>
      <c r="Q4" s="282"/>
    </row>
    <row r="5" spans="2:21" ht="16.5" customHeight="1">
      <c r="D5" s="5" t="s">
        <v>24</v>
      </c>
    </row>
    <row r="6" spans="2:21">
      <c r="D6" s="5" t="s">
        <v>25</v>
      </c>
    </row>
    <row r="7" spans="2:21" ht="21.65" customHeight="1">
      <c r="B7" s="296" t="s">
        <v>26</v>
      </c>
      <c r="C7" s="296"/>
      <c r="D7" s="296"/>
      <c r="E7" s="296"/>
      <c r="F7" s="296"/>
      <c r="G7" s="296"/>
      <c r="H7" s="296"/>
      <c r="I7" s="296"/>
      <c r="J7" s="296"/>
      <c r="K7" s="296"/>
      <c r="L7" s="296"/>
      <c r="M7" s="296"/>
      <c r="N7" s="296"/>
      <c r="O7" s="296"/>
      <c r="P7" s="296"/>
      <c r="Q7" s="296"/>
      <c r="R7" s="296"/>
      <c r="S7" s="296"/>
      <c r="T7" s="296"/>
      <c r="U7" s="296"/>
    </row>
    <row r="8" spans="2:21" s="2" customFormat="1" ht="18.649999999999999" customHeight="1">
      <c r="B8" s="6" t="s">
        <v>27</v>
      </c>
      <c r="C8" s="6"/>
      <c r="D8" s="7"/>
      <c r="E8" s="7"/>
      <c r="F8" s="8" t="s">
        <v>28</v>
      </c>
      <c r="G8" s="301">
        <f>Load!J17</f>
        <v>46218</v>
      </c>
      <c r="H8" s="301"/>
      <c r="I8" s="301"/>
      <c r="J8" s="301"/>
      <c r="K8" s="7"/>
      <c r="L8" s="7"/>
      <c r="M8" s="7"/>
      <c r="N8" s="7"/>
      <c r="O8" s="7"/>
      <c r="P8" s="302" t="s">
        <v>29</v>
      </c>
      <c r="Q8" s="302"/>
      <c r="R8" s="302"/>
      <c r="S8" s="303">
        <v>160</v>
      </c>
      <c r="T8" s="303"/>
      <c r="U8" s="7"/>
    </row>
    <row r="9" spans="2:21">
      <c r="B9" s="9" t="s">
        <v>3</v>
      </c>
      <c r="C9" s="9"/>
      <c r="D9" s="10"/>
      <c r="E9" s="10"/>
      <c r="F9" s="11" t="s">
        <v>28</v>
      </c>
      <c r="G9" s="298">
        <f>Load!$K$19</f>
        <v>0.50232638888888892</v>
      </c>
      <c r="H9" s="298"/>
      <c r="I9" s="298"/>
      <c r="J9" s="298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</row>
    <row r="10" spans="2:21">
      <c r="B10" s="9" t="s">
        <v>31</v>
      </c>
      <c r="C10" s="9"/>
      <c r="D10" s="10"/>
      <c r="E10" s="10"/>
      <c r="F10" s="11" t="s">
        <v>28</v>
      </c>
      <c r="G10" s="298">
        <f>Load!K21</f>
        <v>0.51138888888888889</v>
      </c>
      <c r="H10" s="298"/>
      <c r="I10" s="298"/>
      <c r="J10" s="298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</row>
    <row r="11" spans="2:21" s="2" customFormat="1" ht="20.149999999999999" customHeight="1">
      <c r="B11" s="7"/>
      <c r="C11" s="6" t="s">
        <v>0</v>
      </c>
      <c r="D11" s="7"/>
      <c r="E11" s="7"/>
      <c r="F11" s="7"/>
      <c r="G11" s="7"/>
      <c r="H11" s="7"/>
      <c r="I11" s="6" t="s">
        <v>28</v>
      </c>
      <c r="J11" s="299">
        <f>Load!AN26</f>
        <v>8338</v>
      </c>
      <c r="K11" s="299"/>
      <c r="L11" s="7"/>
      <c r="M11" s="7"/>
      <c r="N11" s="7"/>
      <c r="O11" s="7"/>
      <c r="P11" s="6" t="s">
        <v>1</v>
      </c>
      <c r="Q11" s="7"/>
      <c r="R11" s="7"/>
      <c r="S11" s="6" t="s">
        <v>28</v>
      </c>
      <c r="T11" s="29">
        <f>Load!BN26</f>
        <v>45</v>
      </c>
      <c r="U11" s="30" t="s">
        <v>32</v>
      </c>
    </row>
    <row r="12" spans="2:21" ht="16" customHeight="1">
      <c r="B12" s="10"/>
      <c r="C12" s="9" t="s">
        <v>5</v>
      </c>
      <c r="D12" s="10"/>
      <c r="E12" s="10"/>
      <c r="F12" s="10"/>
      <c r="G12" s="10"/>
      <c r="H12" s="10"/>
      <c r="I12" s="6" t="s">
        <v>28</v>
      </c>
      <c r="J12" s="10" t="str">
        <f>Load!M26</f>
        <v>JHEERNNODHARA SAMITHI ANANTHAPURAM</v>
      </c>
      <c r="K12" s="10"/>
      <c r="L12" s="10"/>
      <c r="M12" s="10"/>
      <c r="N12" s="10"/>
      <c r="O12" s="10"/>
      <c r="P12" s="9" t="s">
        <v>2</v>
      </c>
      <c r="Q12" s="10"/>
      <c r="R12" s="10"/>
      <c r="S12" s="6" t="s">
        <v>28</v>
      </c>
      <c r="T12" s="29">
        <f>Load!AO29</f>
        <v>10</v>
      </c>
      <c r="U12" s="30" t="s">
        <v>32</v>
      </c>
    </row>
    <row r="13" spans="2:21" ht="16" customHeight="1">
      <c r="B13" s="10"/>
      <c r="C13" s="9" t="s">
        <v>7</v>
      </c>
      <c r="D13" s="10"/>
      <c r="E13" s="10"/>
      <c r="F13" s="10"/>
      <c r="G13" s="10"/>
      <c r="H13" s="10"/>
      <c r="I13" s="6" t="s">
        <v>28</v>
      </c>
      <c r="J13" s="10" t="str">
        <f>Load!M34</f>
        <v>BOVIKANAM</v>
      </c>
      <c r="P13" s="9" t="s">
        <v>4</v>
      </c>
      <c r="Q13" s="10"/>
      <c r="R13" s="10"/>
      <c r="S13" s="6" t="s">
        <v>28</v>
      </c>
      <c r="T13" s="29">
        <v>0</v>
      </c>
      <c r="U13" s="30" t="s">
        <v>32</v>
      </c>
    </row>
    <row r="14" spans="2:21" ht="16" customHeight="1">
      <c r="B14" s="10"/>
      <c r="C14" s="9" t="s">
        <v>9</v>
      </c>
      <c r="D14" s="10"/>
      <c r="E14" s="10"/>
      <c r="F14" s="10"/>
      <c r="G14" s="10"/>
      <c r="H14" s="10"/>
      <c r="I14" s="6" t="s">
        <v>28</v>
      </c>
      <c r="J14" s="10" t="str">
        <f>Load!M29</f>
        <v>M 40 A</v>
      </c>
      <c r="K14" s="10"/>
      <c r="L14" s="10"/>
      <c r="M14" s="10"/>
      <c r="N14" s="10"/>
      <c r="O14" s="10"/>
      <c r="P14" s="9" t="s">
        <v>6</v>
      </c>
      <c r="Q14" s="10"/>
      <c r="R14" s="10"/>
      <c r="S14" s="6" t="s">
        <v>28</v>
      </c>
      <c r="T14" s="29">
        <f>Load!BE26</f>
        <v>31</v>
      </c>
      <c r="U14" s="30" t="s">
        <v>32</v>
      </c>
    </row>
    <row r="15" spans="2:21" ht="16" customHeight="1">
      <c r="B15" s="10"/>
      <c r="C15" s="9" t="s">
        <v>10</v>
      </c>
      <c r="D15" s="10"/>
      <c r="E15" s="10"/>
      <c r="F15" s="10"/>
      <c r="G15" s="10"/>
      <c r="H15" s="10"/>
      <c r="I15" s="6" t="s">
        <v>28</v>
      </c>
      <c r="J15" s="10">
        <f>Load!M32</f>
        <v>0</v>
      </c>
      <c r="K15" s="10"/>
      <c r="L15" s="10"/>
      <c r="M15" s="10"/>
      <c r="N15" s="10"/>
      <c r="O15" s="10"/>
      <c r="P15" s="9" t="s">
        <v>33</v>
      </c>
      <c r="Q15" s="10"/>
      <c r="R15" s="10"/>
      <c r="S15" s="6" t="s">
        <v>28</v>
      </c>
      <c r="T15" s="29">
        <v>1</v>
      </c>
      <c r="U15" s="30" t="s">
        <v>32</v>
      </c>
    </row>
    <row r="16" spans="2:21" ht="16" customHeight="1">
      <c r="B16" s="10"/>
      <c r="C16" s="9" t="s">
        <v>12</v>
      </c>
      <c r="D16" s="10"/>
      <c r="E16" s="10"/>
      <c r="F16" s="10"/>
      <c r="G16" s="10"/>
      <c r="H16" s="10"/>
      <c r="I16" s="6" t="s">
        <v>28</v>
      </c>
      <c r="J16" s="10" t="str">
        <f>Load!BG29</f>
        <v>KL14 AF 2789</v>
      </c>
      <c r="K16" s="10"/>
      <c r="L16" s="10"/>
      <c r="M16" s="10"/>
      <c r="N16" s="10"/>
      <c r="O16" s="10"/>
      <c r="P16" s="9" t="s">
        <v>34</v>
      </c>
      <c r="Q16" s="10"/>
      <c r="R16" s="10"/>
      <c r="S16" s="6" t="s">
        <v>28</v>
      </c>
      <c r="T16" s="29">
        <f>T12/1</f>
        <v>10</v>
      </c>
      <c r="U16" s="30" t="s">
        <v>32</v>
      </c>
    </row>
    <row r="17" spans="2:21" ht="16" customHeight="1">
      <c r="B17" s="10"/>
      <c r="C17" s="9" t="s">
        <v>11</v>
      </c>
      <c r="D17" s="10"/>
      <c r="E17" s="10"/>
      <c r="F17" s="10"/>
      <c r="G17" s="10"/>
      <c r="H17" s="10"/>
      <c r="I17" s="6" t="s">
        <v>28</v>
      </c>
      <c r="J17" s="10">
        <f>Load!AZ32</f>
        <v>0</v>
      </c>
      <c r="K17" s="10"/>
      <c r="L17" s="10"/>
      <c r="M17" s="10"/>
      <c r="N17" s="10"/>
      <c r="O17" s="10"/>
      <c r="P17" s="9" t="s">
        <v>35</v>
      </c>
      <c r="Q17" s="10"/>
      <c r="R17" s="10"/>
      <c r="S17" s="10"/>
      <c r="T17" s="10">
        <v>0</v>
      </c>
      <c r="U17" s="31" t="s">
        <v>36</v>
      </c>
    </row>
    <row r="18" spans="2:21">
      <c r="C18" s="9" t="s">
        <v>8</v>
      </c>
      <c r="D18" s="10"/>
      <c r="E18" s="10"/>
      <c r="F18" s="10"/>
      <c r="G18" s="10"/>
      <c r="H18" s="10"/>
      <c r="I18" s="6" t="s">
        <v>28</v>
      </c>
      <c r="J18" s="10">
        <f>Load!$AZ$34</f>
        <v>0</v>
      </c>
      <c r="K18" s="10"/>
      <c r="L18" s="10"/>
      <c r="M18" s="10"/>
      <c r="N18" s="10"/>
      <c r="O18" s="10"/>
    </row>
    <row r="19" spans="2:21">
      <c r="C19" s="9" t="s">
        <v>37</v>
      </c>
      <c r="D19" s="10"/>
      <c r="E19" s="10"/>
      <c r="F19" s="10"/>
      <c r="G19" s="10"/>
      <c r="H19" s="10"/>
      <c r="I19" s="6" t="s">
        <v>28</v>
      </c>
      <c r="J19" s="10" t="s">
        <v>25</v>
      </c>
      <c r="K19" s="10"/>
      <c r="L19" s="10"/>
      <c r="M19" s="10"/>
      <c r="N19" s="10"/>
      <c r="O19" s="10"/>
    </row>
    <row r="20" spans="2:21" ht="22" customHeight="1">
      <c r="B20" s="296" t="s">
        <v>38</v>
      </c>
      <c r="C20" s="296"/>
      <c r="D20" s="296"/>
      <c r="E20" s="296"/>
      <c r="F20" s="296"/>
      <c r="G20" s="296"/>
      <c r="H20" s="296"/>
      <c r="I20" s="296"/>
      <c r="J20" s="296"/>
      <c r="K20" s="296" t="s">
        <v>39</v>
      </c>
      <c r="L20" s="296"/>
      <c r="M20" s="296"/>
      <c r="N20" s="296" t="s">
        <v>40</v>
      </c>
      <c r="O20" s="296"/>
      <c r="P20" s="296"/>
      <c r="Q20" s="32" t="s">
        <v>41</v>
      </c>
      <c r="R20" s="296" t="s">
        <v>42</v>
      </c>
      <c r="S20" s="296"/>
      <c r="T20" s="296"/>
      <c r="U20" s="296"/>
    </row>
    <row r="21" spans="2:21" ht="14.5" customHeight="1">
      <c r="B21" s="297" t="str">
        <f>Load!W45</f>
        <v>M SAND</v>
      </c>
      <c r="C21" s="297"/>
      <c r="D21" s="12" t="str">
        <f>Load!AA45</f>
        <v xml:space="preserve">M SAND </v>
      </c>
      <c r="E21" s="293" t="str">
        <f>Load!AE45</f>
        <v>12 MM</v>
      </c>
      <c r="F21" s="293"/>
      <c r="G21" s="293"/>
      <c r="H21" s="14" t="str">
        <f>Load!AG45</f>
        <v>20 MM</v>
      </c>
      <c r="I21" s="293" t="str">
        <f>Load!AJ45</f>
        <v>0</v>
      </c>
      <c r="J21" s="293"/>
      <c r="K21" s="13" t="str">
        <f>Load!AL45</f>
        <v>CEM 1</v>
      </c>
      <c r="L21" s="13" t="str">
        <f>Load!AP45</f>
        <v>CEM 2</v>
      </c>
      <c r="M21" s="13" t="str">
        <f>Load!AR45</f>
        <v>CEM 3</v>
      </c>
      <c r="O21" s="293" t="str">
        <f>Load!BC45</f>
        <v>WATER</v>
      </c>
      <c r="P21" s="293"/>
      <c r="Q21" s="5" t="s">
        <v>43</v>
      </c>
      <c r="R21" s="297" t="str">
        <f>Load!AV45</f>
        <v>ADMIX1</v>
      </c>
      <c r="S21" s="297"/>
      <c r="T21" s="297" t="str">
        <f>Load!AY45</f>
        <v>ADMIX2</v>
      </c>
      <c r="U21" s="297"/>
    </row>
    <row r="22" spans="2:21">
      <c r="B22" s="10" t="s">
        <v>44</v>
      </c>
    </row>
    <row r="23" spans="2:21" s="2" customFormat="1" ht="20.5" customHeight="1">
      <c r="B23" s="294">
        <f>Load!W46</f>
        <v>0</v>
      </c>
      <c r="C23" s="294"/>
      <c r="D23" s="15">
        <f>Load!AA46</f>
        <v>743</v>
      </c>
      <c r="E23" s="295">
        <f>Load!AE46</f>
        <v>435</v>
      </c>
      <c r="F23" s="295"/>
      <c r="G23" s="295"/>
      <c r="H23" s="15">
        <f>Load!AG46</f>
        <v>681</v>
      </c>
      <c r="I23" s="295"/>
      <c r="J23" s="295"/>
      <c r="K23" s="27">
        <f>Load!AL46</f>
        <v>340</v>
      </c>
      <c r="L23" s="27">
        <f>Load!AP46</f>
        <v>0</v>
      </c>
      <c r="M23" s="27">
        <f>Load!AR46</f>
        <v>100</v>
      </c>
      <c r="N23" s="27">
        <v>0</v>
      </c>
      <c r="O23" s="294">
        <f>Load!BC46</f>
        <v>154</v>
      </c>
      <c r="P23" s="294"/>
      <c r="Q23" s="33">
        <v>0</v>
      </c>
      <c r="R23" s="292">
        <f>Load!AV46</f>
        <v>2.6</v>
      </c>
      <c r="S23" s="292"/>
      <c r="T23" s="292">
        <f>Load!AY46</f>
        <v>0</v>
      </c>
      <c r="U23" s="292"/>
    </row>
    <row r="24" spans="2:21" ht="20.149999999999999" customHeight="1">
      <c r="B24" s="5" t="s">
        <v>45</v>
      </c>
    </row>
    <row r="25" spans="2:21">
      <c r="B25" s="280">
        <f>Load!W47</f>
        <v>0</v>
      </c>
      <c r="C25" s="280"/>
      <c r="D25" s="17">
        <f>Load!AA47</f>
        <v>2</v>
      </c>
      <c r="E25" s="280">
        <f>Load!AE47</f>
        <v>1</v>
      </c>
      <c r="F25" s="280"/>
      <c r="G25" s="280"/>
      <c r="H25" s="18">
        <f>Load!AG47</f>
        <v>1</v>
      </c>
      <c r="I25" s="280">
        <v>0</v>
      </c>
      <c r="J25" s="280"/>
      <c r="K25" s="14"/>
      <c r="L25" s="14"/>
      <c r="M25" s="14"/>
      <c r="N25" s="14"/>
      <c r="O25" s="293">
        <v>0</v>
      </c>
      <c r="P25" s="293"/>
      <c r="Q25" s="14"/>
      <c r="R25" s="14"/>
      <c r="S25" s="14"/>
      <c r="T25" s="14"/>
      <c r="U25" s="14"/>
    </row>
    <row r="26" spans="2:21">
      <c r="B26" s="280">
        <f>Load!W48</f>
        <v>0</v>
      </c>
      <c r="C26" s="280"/>
      <c r="D26" s="124">
        <f>Load!AA48</f>
        <v>4.5</v>
      </c>
      <c r="E26" s="280">
        <f>Load!AE48</f>
        <v>0</v>
      </c>
      <c r="F26" s="280"/>
      <c r="G26" s="280"/>
      <c r="H26" s="16">
        <f>Load!AG48</f>
        <v>0</v>
      </c>
      <c r="I26" s="280">
        <v>0</v>
      </c>
      <c r="J26" s="280"/>
      <c r="K26" s="14"/>
      <c r="L26" s="14"/>
      <c r="M26" s="14"/>
      <c r="N26" s="13" t="s">
        <v>46</v>
      </c>
      <c r="O26" s="279">
        <v>0</v>
      </c>
      <c r="P26" s="279"/>
      <c r="Q26" s="14"/>
      <c r="R26" s="14"/>
      <c r="S26" s="14"/>
      <c r="T26" s="14"/>
      <c r="U26" s="14"/>
    </row>
    <row r="27" spans="2:21">
      <c r="B27" s="286">
        <f>(((B26-B25)*(B23*T16))/100)+(((B26-B25)*(((B26-B25)*(B23*T16))/100))/100)+(B23*T16)</f>
        <v>0</v>
      </c>
      <c r="C27" s="286">
        <f t="shared" ref="C27" si="0">(((C26-C25)*C23)/100)+(((C26-C25)*(((C26-C25)*C23)/100))/100)+C23</f>
        <v>0</v>
      </c>
      <c r="D27" s="20">
        <f>(((D26-D25)*(D23*T16))/100)+(((D26-D25)*(((D26-D25)*(D23*T16))/100))/100)+(D23*T16)</f>
        <v>7620.3937500000002</v>
      </c>
      <c r="E27" s="286">
        <f>(((E26-E25)*(E23*T16))/100)+(((E26-E25)*(((E26-E25)*(T16*E23))/100))/100)+(T16*E23)</f>
        <v>4306.9350000000004</v>
      </c>
      <c r="F27" s="286">
        <f t="shared" ref="F27:G27" si="1">(((F26-F25)*F23)/100)+(((F26-F25)*(((F26-F25)*F23)/100))/100)+F23</f>
        <v>0</v>
      </c>
      <c r="G27" s="286">
        <f t="shared" si="1"/>
        <v>0</v>
      </c>
      <c r="H27" s="21">
        <f>(((H26-H25)*(T16*H23))/100)+(((H26-H25)*(((H26-H25)*(T16*H23))/100))/100)+(T16*H23)</f>
        <v>6742.5810000000001</v>
      </c>
      <c r="I27" s="286">
        <f>(((I26-I25)*(T16*I23))/100)+(((I26-I25)*(((I26-I25)*(T16*I23))/100))/100)+(T16*I23)</f>
        <v>0</v>
      </c>
      <c r="J27" s="286">
        <f t="shared" ref="J27" si="2">(((J26-J25)*J23)/100)+(((J26-J25)*(((J26-J25)*J23)/100))/100)+J23</f>
        <v>0</v>
      </c>
      <c r="K27" s="21">
        <f>K23*T16</f>
        <v>3400</v>
      </c>
      <c r="L27" s="21">
        <f>L23*T16</f>
        <v>0</v>
      </c>
      <c r="M27" s="21">
        <f>M23*T16</f>
        <v>1000</v>
      </c>
      <c r="N27" s="25">
        <v>0</v>
      </c>
      <c r="O27" s="291">
        <f>(T16*O23)-(((B27*B26/100)-(B27*B25/100))+((D27*D26/100)-(D27*D25/100))+((E27*E26/100)-(E27*E25/100))+((H27*H26/100)-(H27*H25/100)))</f>
        <v>1459.9853162500001</v>
      </c>
      <c r="P27" s="291"/>
      <c r="Q27" s="34">
        <v>0</v>
      </c>
      <c r="R27" s="280">
        <f>R23*T16</f>
        <v>26</v>
      </c>
      <c r="S27" s="280"/>
      <c r="T27" s="289">
        <f>T23*T16</f>
        <v>0</v>
      </c>
      <c r="U27" s="289"/>
    </row>
    <row r="28" spans="2:21">
      <c r="B28" s="286">
        <f ca="1">$B$27+($B$27*1*(0.5-RAND()))/100</f>
        <v>0</v>
      </c>
      <c r="C28" s="286"/>
      <c r="D28" s="21">
        <f ca="1">$D$27+($D$27*1*(0.5-RAND()))/100</f>
        <v>7628.6177778498914</v>
      </c>
      <c r="E28" s="286">
        <f ca="1">$E$27+($E$27*1*(0.5-RAND()))/100</f>
        <v>4320.6678262231699</v>
      </c>
      <c r="F28" s="286"/>
      <c r="G28" s="286"/>
      <c r="H28" s="21">
        <f ca="1">$H$27+($H$27*1*(0.5-RAND()))/100</f>
        <v>6771.9068915581875</v>
      </c>
      <c r="I28" s="286">
        <f ca="1">$I$27+($I$27*1*(0.5-RAND()))/100</f>
        <v>0</v>
      </c>
      <c r="J28" s="286"/>
      <c r="K28" s="21">
        <f ca="1">$K$27+($K$27*2*(0.5-RAND()))/100</f>
        <v>3397.1439906252253</v>
      </c>
      <c r="L28" s="21">
        <f ca="1">$L$27+($L$27*2*(0.5-RAND()))/100</f>
        <v>0</v>
      </c>
      <c r="M28" s="21">
        <f ca="1">$M$27+($M$27*2*(0.5-RAND()))/100</f>
        <v>999.42637910905739</v>
      </c>
      <c r="N28" s="25">
        <f ca="1">N27+(N27*1*(0.5-RAND()))/100</f>
        <v>0</v>
      </c>
      <c r="O28" s="286">
        <f ca="1">$O$27+($O$27*(Load!$BM$46+Load!$BO$46*RAND()))/100</f>
        <v>1433.8436337368153</v>
      </c>
      <c r="P28" s="286"/>
      <c r="Q28" s="34">
        <v>0</v>
      </c>
      <c r="R28" s="280">
        <f ca="1">$R$27+($R$27*2*(0.5-RAND()))/100</f>
        <v>26.21048378330379</v>
      </c>
      <c r="S28" s="280"/>
      <c r="T28" s="290">
        <v>0</v>
      </c>
      <c r="U28" s="290"/>
    </row>
    <row r="29" spans="2:21" s="4" customFormat="1" ht="18" customHeight="1">
      <c r="B29" s="22" t="s">
        <v>47</v>
      </c>
      <c r="C29" s="22"/>
      <c r="D29" s="23"/>
      <c r="E29" s="24"/>
      <c r="F29" s="24"/>
      <c r="G29" s="24"/>
      <c r="H29" s="23"/>
      <c r="I29" s="24"/>
      <c r="J29" s="24"/>
      <c r="K29" s="23"/>
      <c r="L29" s="23"/>
      <c r="M29" s="23"/>
      <c r="N29" s="28" t="s">
        <v>48</v>
      </c>
      <c r="O29" s="288">
        <v>0</v>
      </c>
      <c r="P29" s="288"/>
      <c r="Q29" s="23"/>
      <c r="R29" s="23"/>
      <c r="S29" s="23"/>
      <c r="T29" s="23"/>
      <c r="U29" s="23"/>
    </row>
    <row r="30" spans="2:21" s="3" customFormat="1" ht="17.5" customHeight="1">
      <c r="B30" s="285">
        <f>+B27</f>
        <v>0</v>
      </c>
      <c r="C30" s="285"/>
      <c r="D30" s="21">
        <f>ROUND((+D27),0)</f>
        <v>7620</v>
      </c>
      <c r="E30" s="286">
        <f>+E27</f>
        <v>4306.9350000000004</v>
      </c>
      <c r="F30" s="286"/>
      <c r="G30" s="286"/>
      <c r="H30" s="21">
        <f>+H27</f>
        <v>6742.5810000000001</v>
      </c>
      <c r="I30" s="286">
        <f>+I27</f>
        <v>0</v>
      </c>
      <c r="J30" s="286"/>
      <c r="K30" s="21">
        <f>+K27</f>
        <v>3400</v>
      </c>
      <c r="L30" s="21">
        <f>+L27</f>
        <v>0</v>
      </c>
      <c r="M30" s="21">
        <f>M27</f>
        <v>1000</v>
      </c>
      <c r="N30" s="21">
        <v>0</v>
      </c>
      <c r="O30" s="287">
        <f>+O27</f>
        <v>1459.9853162500001</v>
      </c>
      <c r="P30" s="287"/>
      <c r="Q30" s="35">
        <f>+Q27</f>
        <v>0</v>
      </c>
      <c r="R30" s="284">
        <f>+R27</f>
        <v>26</v>
      </c>
      <c r="S30" s="284"/>
      <c r="T30" s="284">
        <f>+T27</f>
        <v>0</v>
      </c>
      <c r="U30" s="284"/>
    </row>
    <row r="31" spans="2:21" s="3" customFormat="1" ht="22" customHeight="1">
      <c r="B31" s="2" t="s">
        <v>49</v>
      </c>
      <c r="C31" s="5"/>
      <c r="D31" s="14"/>
      <c r="E31" s="17"/>
      <c r="F31" s="17"/>
      <c r="G31" s="17"/>
      <c r="H31" s="14"/>
      <c r="I31" s="17"/>
      <c r="J31" s="17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</row>
    <row r="32" spans="2:21" s="3" customFormat="1" ht="17.5" customHeight="1">
      <c r="B32" s="285">
        <f ca="1">+B28</f>
        <v>0</v>
      </c>
      <c r="C32" s="285"/>
      <c r="D32" s="21">
        <f ca="1">+D28</f>
        <v>7628.6177778498914</v>
      </c>
      <c r="E32" s="286">
        <f ca="1">+E28</f>
        <v>4320.6678262231699</v>
      </c>
      <c r="F32" s="286"/>
      <c r="G32" s="286"/>
      <c r="H32" s="21">
        <f ca="1">+H28</f>
        <v>6771.9068915581875</v>
      </c>
      <c r="I32" s="286">
        <f ca="1">+I28</f>
        <v>0</v>
      </c>
      <c r="J32" s="286"/>
      <c r="K32" s="21">
        <f ca="1">+K28</f>
        <v>3397.1439906252253</v>
      </c>
      <c r="L32" s="21">
        <f ca="1">+L28</f>
        <v>0</v>
      </c>
      <c r="M32" s="21">
        <f ca="1">+M28</f>
        <v>999.42637910905739</v>
      </c>
      <c r="N32" s="21">
        <v>0</v>
      </c>
      <c r="O32" s="287">
        <f ca="1">+O28</f>
        <v>1433.8436337368153</v>
      </c>
      <c r="P32" s="287"/>
      <c r="Q32" s="35">
        <v>0</v>
      </c>
      <c r="R32" s="284">
        <f ca="1">+R28</f>
        <v>26.21048378330379</v>
      </c>
      <c r="S32" s="284"/>
      <c r="T32" s="284">
        <f>+T28</f>
        <v>0</v>
      </c>
      <c r="U32" s="284"/>
    </row>
    <row r="33" spans="2:21" s="3" customFormat="1" ht="2.5" customHeight="1">
      <c r="B33" s="283"/>
      <c r="C33" s="283"/>
      <c r="D33" s="283"/>
      <c r="E33" s="283"/>
      <c r="F33" s="283"/>
      <c r="G33" s="283"/>
      <c r="H33" s="283"/>
      <c r="I33" s="283"/>
      <c r="J33" s="283"/>
      <c r="K33" s="283"/>
      <c r="L33" s="283"/>
      <c r="M33" s="283"/>
      <c r="N33" s="283"/>
      <c r="O33" s="283"/>
      <c r="P33" s="283"/>
      <c r="Q33" s="283"/>
      <c r="R33" s="283"/>
      <c r="S33" s="283"/>
      <c r="T33" s="283"/>
      <c r="U33" s="283"/>
    </row>
    <row r="34" spans="2:21" s="3" customFormat="1" ht="9.65" customHeight="1">
      <c r="B34" s="5"/>
      <c r="C34" s="5"/>
      <c r="D34" s="26"/>
      <c r="E34" s="17"/>
      <c r="F34" s="17"/>
      <c r="G34" s="17"/>
      <c r="H34" s="26"/>
      <c r="I34" s="17"/>
      <c r="J34" s="17"/>
      <c r="K34" s="26"/>
      <c r="L34" s="26"/>
      <c r="M34" s="26"/>
      <c r="N34" s="26"/>
      <c r="O34" s="26"/>
      <c r="P34" s="26"/>
      <c r="Q34" s="36"/>
      <c r="S34" s="26"/>
      <c r="T34" s="26"/>
      <c r="U34" s="26"/>
    </row>
    <row r="35" spans="2:21" s="3" customFormat="1">
      <c r="B35" s="5"/>
      <c r="C35" s="5"/>
      <c r="D35" s="26"/>
      <c r="E35" s="17"/>
      <c r="F35" s="17"/>
      <c r="G35" s="17"/>
      <c r="H35" s="26"/>
      <c r="I35" s="17"/>
      <c r="J35" s="17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</row>
    <row r="36" spans="2:21" s="3" customFormat="1">
      <c r="B36" s="5"/>
      <c r="C36" s="5"/>
      <c r="D36" s="26"/>
      <c r="E36" s="17"/>
      <c r="F36" s="17"/>
      <c r="G36" s="17"/>
      <c r="H36" s="26"/>
      <c r="I36" s="17"/>
      <c r="J36" s="17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</row>
    <row r="37" spans="2:21" s="3" customFormat="1">
      <c r="B37" s="5"/>
      <c r="C37" s="5"/>
      <c r="D37" s="26"/>
      <c r="E37" s="17"/>
      <c r="F37" s="17"/>
      <c r="G37" s="17"/>
      <c r="H37" s="26"/>
      <c r="I37" s="17"/>
      <c r="J37" s="17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</row>
    <row r="38" spans="2:21" s="3" customFormat="1">
      <c r="B38" s="5"/>
      <c r="C38" s="5"/>
      <c r="D38" s="26"/>
      <c r="E38" s="17"/>
      <c r="F38" s="17"/>
      <c r="G38" s="17"/>
      <c r="H38" s="26"/>
      <c r="I38" s="17"/>
      <c r="J38" s="17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</row>
    <row r="39" spans="2:21" s="3" customFormat="1">
      <c r="B39" s="279"/>
      <c r="C39" s="279"/>
      <c r="D39" s="26"/>
      <c r="E39" s="280"/>
      <c r="F39" s="280"/>
      <c r="G39" s="280"/>
      <c r="H39" s="26"/>
      <c r="I39" s="280"/>
      <c r="J39" s="280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</row>
    <row r="40" spans="2:21" s="3" customFormat="1">
      <c r="B40" s="279"/>
      <c r="C40" s="279"/>
      <c r="D40" s="26"/>
      <c r="E40" s="280"/>
      <c r="F40" s="280"/>
      <c r="G40" s="280"/>
      <c r="H40" s="26"/>
      <c r="I40" s="280"/>
      <c r="J40" s="280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</row>
    <row r="41" spans="2:21" s="3" customFormat="1">
      <c r="B41" s="279"/>
      <c r="C41" s="279"/>
      <c r="D41" s="26"/>
      <c r="E41" s="26"/>
      <c r="F41" s="26"/>
      <c r="G41" s="26"/>
      <c r="H41" s="26"/>
      <c r="I41" s="280"/>
      <c r="J41" s="280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</row>
    <row r="42" spans="2:21" s="3" customFormat="1">
      <c r="B42" s="279"/>
      <c r="C42" s="279"/>
      <c r="D42" s="26"/>
      <c r="E42" s="26"/>
      <c r="F42" s="26"/>
      <c r="G42" s="26"/>
      <c r="H42" s="26"/>
      <c r="I42" s="280"/>
      <c r="J42" s="280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</row>
    <row r="43" spans="2:21" s="3" customFormat="1">
      <c r="B43" s="279"/>
      <c r="C43" s="279"/>
      <c r="D43" s="26"/>
      <c r="E43" s="26"/>
      <c r="F43" s="26"/>
      <c r="G43" s="26"/>
      <c r="H43" s="26"/>
      <c r="I43" s="280"/>
      <c r="J43" s="280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</row>
    <row r="44" spans="2:21" s="3" customFormat="1">
      <c r="B44" s="279"/>
      <c r="C44" s="279"/>
      <c r="D44" s="26"/>
      <c r="E44" s="26"/>
      <c r="F44" s="26"/>
      <c r="G44" s="26"/>
      <c r="H44" s="26"/>
      <c r="I44" s="280"/>
      <c r="J44" s="280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</row>
    <row r="45" spans="2:21" s="3" customFormat="1">
      <c r="B45" s="26"/>
      <c r="C45" s="26"/>
      <c r="D45" s="26"/>
      <c r="E45" s="26"/>
      <c r="F45" s="26"/>
      <c r="G45" s="26"/>
      <c r="H45" s="26"/>
      <c r="I45" s="281"/>
      <c r="J45" s="281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</row>
    <row r="46" spans="2:21">
      <c r="B46" s="14"/>
      <c r="C46" s="14"/>
      <c r="D46" s="14"/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</row>
    <row r="47" spans="2:21"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</row>
    <row r="48" spans="2:21"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</row>
    <row r="49" spans="2:21"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</row>
    <row r="50" spans="2:21"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</row>
    <row r="51" spans="2:21"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</row>
    <row r="52" spans="2:21"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</row>
    <row r="53" spans="2:21"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</row>
    <row r="54" spans="2:21"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</row>
    <row r="55" spans="2:21"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</row>
    <row r="56" spans="2:21"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</row>
  </sheetData>
  <sheetProtection selectLockedCells="1"/>
  <mergeCells count="74">
    <mergeCell ref="B2:U2"/>
    <mergeCell ref="B7:U7"/>
    <mergeCell ref="G8:J8"/>
    <mergeCell ref="P8:R8"/>
    <mergeCell ref="S8:T8"/>
    <mergeCell ref="G9:J9"/>
    <mergeCell ref="G10:J10"/>
    <mergeCell ref="B20:J20"/>
    <mergeCell ref="K20:M20"/>
    <mergeCell ref="N20:P20"/>
    <mergeCell ref="J11:K11"/>
    <mergeCell ref="R20:U20"/>
    <mergeCell ref="B21:C21"/>
    <mergeCell ref="E21:G21"/>
    <mergeCell ref="I21:J21"/>
    <mergeCell ref="O21:P21"/>
    <mergeCell ref="R21:S21"/>
    <mergeCell ref="T21:U21"/>
    <mergeCell ref="T23:U23"/>
    <mergeCell ref="B25:C25"/>
    <mergeCell ref="E25:G25"/>
    <mergeCell ref="I25:J25"/>
    <mergeCell ref="O25:P25"/>
    <mergeCell ref="B23:C23"/>
    <mergeCell ref="E23:G23"/>
    <mergeCell ref="I23:J23"/>
    <mergeCell ref="O23:P23"/>
    <mergeCell ref="R23:S23"/>
    <mergeCell ref="B26:C26"/>
    <mergeCell ref="E26:G26"/>
    <mergeCell ref="I26:J26"/>
    <mergeCell ref="O26:P26"/>
    <mergeCell ref="B27:C27"/>
    <mergeCell ref="E27:G27"/>
    <mergeCell ref="I27:J27"/>
    <mergeCell ref="O27:P27"/>
    <mergeCell ref="R27:S27"/>
    <mergeCell ref="T27:U27"/>
    <mergeCell ref="B28:C28"/>
    <mergeCell ref="E28:G28"/>
    <mergeCell ref="I28:J28"/>
    <mergeCell ref="O28:P28"/>
    <mergeCell ref="R28:S28"/>
    <mergeCell ref="T28:U28"/>
    <mergeCell ref="O29:P29"/>
    <mergeCell ref="B30:C30"/>
    <mergeCell ref="E30:G30"/>
    <mergeCell ref="I30:J30"/>
    <mergeCell ref="O30:P30"/>
    <mergeCell ref="I40:J40"/>
    <mergeCell ref="R30:S30"/>
    <mergeCell ref="T30:U30"/>
    <mergeCell ref="B32:C32"/>
    <mergeCell ref="E32:G32"/>
    <mergeCell ref="I32:J32"/>
    <mergeCell ref="O32:P32"/>
    <mergeCell ref="R32:S32"/>
    <mergeCell ref="T32:U32"/>
    <mergeCell ref="B44:C44"/>
    <mergeCell ref="I44:J44"/>
    <mergeCell ref="I45:J45"/>
    <mergeCell ref="E3:Q4"/>
    <mergeCell ref="B41:C41"/>
    <mergeCell ref="I41:J41"/>
    <mergeCell ref="B42:C42"/>
    <mergeCell ref="I42:J42"/>
    <mergeCell ref="B43:C43"/>
    <mergeCell ref="I43:J43"/>
    <mergeCell ref="B33:U33"/>
    <mergeCell ref="B39:C39"/>
    <mergeCell ref="E39:G39"/>
    <mergeCell ref="I39:J39"/>
    <mergeCell ref="B40:C40"/>
    <mergeCell ref="E40:G40"/>
  </mergeCells>
  <printOptions horizontalCentered="1"/>
  <pageMargins left="3.9370078740157501E-2" right="3.9370078740157501E-2" top="0.55118110236220497" bottom="0.43307086614173201" header="0.196850393700787" footer="0.31496062992126"/>
  <pageSetup scale="94" orientation="portrait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B1:V60"/>
  <sheetViews>
    <sheetView showGridLines="0" workbookViewId="0">
      <selection activeCell="J15" sqref="J15"/>
    </sheetView>
  </sheetViews>
  <sheetFormatPr defaultColWidth="8.7265625" defaultRowHeight="14"/>
  <cols>
    <col min="1" max="1" width="8.7265625" style="5"/>
    <col min="2" max="2" width="2.453125" style="5" customWidth="1"/>
    <col min="3" max="3" width="4.7265625" style="5" customWidth="1"/>
    <col min="4" max="4" width="6.453125" style="5" customWidth="1"/>
    <col min="5" max="7" width="2.54296875" style="5" customWidth="1"/>
    <col min="8" max="8" width="7.453125" style="5" customWidth="1"/>
    <col min="9" max="9" width="2.7265625" style="5" customWidth="1"/>
    <col min="10" max="10" width="4.1796875" style="5" customWidth="1"/>
    <col min="11" max="13" width="8.1796875" style="5" customWidth="1"/>
    <col min="14" max="14" width="9.54296875" style="5" customWidth="1"/>
    <col min="15" max="16" width="4.54296875" style="5" customWidth="1"/>
    <col min="17" max="17" width="10.453125" style="5" customWidth="1"/>
    <col min="18" max="19" width="4.7265625" style="5" customWidth="1"/>
    <col min="20" max="20" width="7.1796875" style="5" customWidth="1"/>
    <col min="21" max="21" width="3.26953125" style="5" customWidth="1"/>
    <col min="22" max="22" width="6.453125" style="5" customWidth="1"/>
    <col min="23" max="16384" width="8.7265625" style="5"/>
  </cols>
  <sheetData>
    <row r="1" spans="2:21" ht="8.15" customHeight="1"/>
    <row r="2" spans="2:21" ht="20">
      <c r="B2" s="300" t="s">
        <v>22</v>
      </c>
      <c r="C2" s="300"/>
      <c r="D2" s="300"/>
      <c r="E2" s="300"/>
      <c r="F2" s="300"/>
      <c r="G2" s="300"/>
      <c r="H2" s="300"/>
      <c r="I2" s="300"/>
      <c r="J2" s="300"/>
      <c r="K2" s="300"/>
      <c r="L2" s="300"/>
      <c r="M2" s="300"/>
      <c r="N2" s="300"/>
      <c r="O2" s="300"/>
      <c r="P2" s="300"/>
      <c r="Q2" s="300"/>
      <c r="R2" s="300"/>
      <c r="S2" s="300"/>
      <c r="T2" s="300"/>
      <c r="U2" s="300"/>
    </row>
    <row r="3" spans="2:21" ht="16" customHeight="1">
      <c r="E3" s="282" t="s">
        <v>23</v>
      </c>
      <c r="F3" s="282"/>
      <c r="G3" s="282"/>
      <c r="H3" s="282"/>
      <c r="I3" s="282"/>
      <c r="J3" s="282"/>
      <c r="K3" s="282"/>
      <c r="L3" s="282"/>
      <c r="M3" s="282"/>
      <c r="N3" s="282"/>
      <c r="O3" s="282"/>
      <c r="P3" s="282"/>
      <c r="Q3" s="282"/>
    </row>
    <row r="4" spans="2:21" ht="16" customHeight="1">
      <c r="E4" s="282"/>
      <c r="F4" s="282"/>
      <c r="G4" s="282"/>
      <c r="H4" s="282"/>
      <c r="I4" s="282"/>
      <c r="J4" s="282"/>
      <c r="K4" s="282"/>
      <c r="L4" s="282"/>
      <c r="M4" s="282"/>
      <c r="N4" s="282"/>
      <c r="O4" s="282"/>
      <c r="P4" s="282"/>
      <c r="Q4" s="282"/>
    </row>
    <row r="5" spans="2:21" ht="16.5" customHeight="1">
      <c r="D5" s="5" t="s">
        <v>24</v>
      </c>
    </row>
    <row r="6" spans="2:21">
      <c r="D6" s="5" t="s">
        <v>25</v>
      </c>
    </row>
    <row r="7" spans="2:21" ht="21.65" customHeight="1">
      <c r="B7" s="296" t="s">
        <v>26</v>
      </c>
      <c r="C7" s="296"/>
      <c r="D7" s="296"/>
      <c r="E7" s="296"/>
      <c r="F7" s="296"/>
      <c r="G7" s="296"/>
      <c r="H7" s="296"/>
      <c r="I7" s="296"/>
      <c r="J7" s="296"/>
      <c r="K7" s="296"/>
      <c r="L7" s="296"/>
      <c r="M7" s="296"/>
      <c r="N7" s="296"/>
      <c r="O7" s="296"/>
      <c r="P7" s="296"/>
      <c r="Q7" s="296"/>
      <c r="R7" s="296"/>
      <c r="S7" s="296"/>
      <c r="T7" s="296"/>
      <c r="U7" s="296"/>
    </row>
    <row r="8" spans="2:21" s="2" customFormat="1" ht="18.649999999999999" customHeight="1">
      <c r="B8" s="6" t="s">
        <v>27</v>
      </c>
      <c r="C8" s="6"/>
      <c r="D8" s="7"/>
      <c r="E8" s="7"/>
      <c r="F8" s="8" t="s">
        <v>28</v>
      </c>
      <c r="G8" s="301">
        <f>Load!J17</f>
        <v>46218</v>
      </c>
      <c r="H8" s="301"/>
      <c r="I8" s="301"/>
      <c r="J8" s="301"/>
      <c r="K8" s="7"/>
      <c r="L8" s="7"/>
      <c r="M8" s="7"/>
      <c r="N8" s="7"/>
      <c r="O8" s="7"/>
      <c r="P8" s="302" t="s">
        <v>29</v>
      </c>
      <c r="Q8" s="302"/>
      <c r="R8" s="302"/>
      <c r="S8" s="303">
        <v>160</v>
      </c>
      <c r="T8" s="303"/>
      <c r="U8" s="7"/>
    </row>
    <row r="9" spans="2:21">
      <c r="B9" s="9" t="s">
        <v>3</v>
      </c>
      <c r="C9" s="9"/>
      <c r="D9" s="10"/>
      <c r="E9" s="10"/>
      <c r="F9" s="11" t="s">
        <v>28</v>
      </c>
      <c r="G9" s="298">
        <f>Load!$K$19</f>
        <v>0.50232638888888892</v>
      </c>
      <c r="H9" s="298"/>
      <c r="I9" s="298"/>
      <c r="J9" s="298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</row>
    <row r="10" spans="2:21">
      <c r="B10" s="9" t="s">
        <v>31</v>
      </c>
      <c r="C10" s="9"/>
      <c r="D10" s="10"/>
      <c r="E10" s="10"/>
      <c r="F10" s="11" t="s">
        <v>28</v>
      </c>
      <c r="G10" s="298">
        <f>Load!K21</f>
        <v>0.51138888888888889</v>
      </c>
      <c r="H10" s="298"/>
      <c r="I10" s="298"/>
      <c r="J10" s="298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</row>
    <row r="11" spans="2:21" s="2" customFormat="1" ht="20.149999999999999" customHeight="1">
      <c r="B11" s="7"/>
      <c r="C11" s="6" t="s">
        <v>0</v>
      </c>
      <c r="D11" s="7"/>
      <c r="E11" s="7"/>
      <c r="F11" s="7"/>
      <c r="G11" s="7"/>
      <c r="H11" s="7"/>
      <c r="I11" s="6" t="s">
        <v>28</v>
      </c>
      <c r="J11" s="299">
        <f>Load!AN26</f>
        <v>8338</v>
      </c>
      <c r="K11" s="299"/>
      <c r="L11" s="7"/>
      <c r="M11" s="7"/>
      <c r="N11" s="7"/>
      <c r="O11" s="7"/>
      <c r="P11" s="6" t="s">
        <v>1</v>
      </c>
      <c r="Q11" s="7"/>
      <c r="R11" s="7"/>
      <c r="S11" s="6" t="s">
        <v>28</v>
      </c>
      <c r="T11" s="29">
        <f>Load!BN26</f>
        <v>45</v>
      </c>
      <c r="U11" s="30" t="s">
        <v>32</v>
      </c>
    </row>
    <row r="12" spans="2:21" ht="16" customHeight="1">
      <c r="B12" s="10"/>
      <c r="C12" s="9" t="s">
        <v>5</v>
      </c>
      <c r="D12" s="10"/>
      <c r="E12" s="10"/>
      <c r="F12" s="10"/>
      <c r="G12" s="10"/>
      <c r="H12" s="10"/>
      <c r="I12" s="6" t="s">
        <v>28</v>
      </c>
      <c r="J12" s="10" t="str">
        <f>Load!M26</f>
        <v>JHEERNNODHARA SAMITHI ANANTHAPURAM</v>
      </c>
      <c r="K12" s="10"/>
      <c r="L12" s="10"/>
      <c r="M12" s="10"/>
      <c r="N12" s="10"/>
      <c r="O12" s="10"/>
      <c r="P12" s="9" t="s">
        <v>2</v>
      </c>
      <c r="Q12" s="10"/>
      <c r="R12" s="10"/>
      <c r="S12" s="6" t="s">
        <v>28</v>
      </c>
      <c r="T12" s="29">
        <f>Load!AO29</f>
        <v>10</v>
      </c>
      <c r="U12" s="30" t="s">
        <v>32</v>
      </c>
    </row>
    <row r="13" spans="2:21" ht="16" customHeight="1">
      <c r="B13" s="10"/>
      <c r="C13" s="9" t="s">
        <v>7</v>
      </c>
      <c r="D13" s="10"/>
      <c r="E13" s="10"/>
      <c r="F13" s="10"/>
      <c r="G13" s="10"/>
      <c r="H13" s="10"/>
      <c r="I13" s="6" t="s">
        <v>28</v>
      </c>
      <c r="J13" s="10" t="str">
        <f>Load!M34</f>
        <v>BOVIKANAM</v>
      </c>
      <c r="K13" s="10"/>
      <c r="P13" s="9" t="s">
        <v>4</v>
      </c>
      <c r="Q13" s="10"/>
      <c r="R13" s="10"/>
      <c r="S13" s="6" t="s">
        <v>28</v>
      </c>
      <c r="T13" s="29">
        <v>0</v>
      </c>
      <c r="U13" s="30" t="s">
        <v>32</v>
      </c>
    </row>
    <row r="14" spans="2:21" ht="16" customHeight="1">
      <c r="B14" s="10"/>
      <c r="C14" s="9" t="s">
        <v>9</v>
      </c>
      <c r="D14" s="10"/>
      <c r="E14" s="10"/>
      <c r="F14" s="10"/>
      <c r="G14" s="10"/>
      <c r="H14" s="10"/>
      <c r="I14" s="6" t="s">
        <v>28</v>
      </c>
      <c r="J14" s="10" t="str">
        <f>Load!M29</f>
        <v>M 40 A</v>
      </c>
      <c r="K14" s="10"/>
      <c r="L14" s="10"/>
      <c r="M14" s="10"/>
      <c r="N14" s="10"/>
      <c r="O14" s="10"/>
      <c r="P14" s="9" t="s">
        <v>6</v>
      </c>
      <c r="Q14" s="10"/>
      <c r="R14" s="10"/>
      <c r="S14" s="6" t="s">
        <v>28</v>
      </c>
      <c r="T14" s="29">
        <f>Load!BE26</f>
        <v>31</v>
      </c>
      <c r="U14" s="30" t="s">
        <v>32</v>
      </c>
    </row>
    <row r="15" spans="2:21" ht="16" customHeight="1">
      <c r="B15" s="10"/>
      <c r="C15" s="9" t="s">
        <v>10</v>
      </c>
      <c r="D15" s="10"/>
      <c r="E15" s="10"/>
      <c r="F15" s="10"/>
      <c r="G15" s="10"/>
      <c r="H15" s="10"/>
      <c r="I15" s="6" t="s">
        <v>28</v>
      </c>
      <c r="J15" s="10">
        <f>Load!M32</f>
        <v>0</v>
      </c>
      <c r="K15" s="10"/>
      <c r="L15" s="10"/>
      <c r="M15" s="10"/>
      <c r="N15" s="10"/>
      <c r="O15" s="10"/>
      <c r="P15" s="9" t="s">
        <v>33</v>
      </c>
      <c r="Q15" s="10"/>
      <c r="R15" s="10"/>
      <c r="S15" s="6" t="s">
        <v>28</v>
      </c>
      <c r="T15" s="29">
        <v>1</v>
      </c>
      <c r="U15" s="30" t="s">
        <v>32</v>
      </c>
    </row>
    <row r="16" spans="2:21" ht="16" customHeight="1">
      <c r="B16" s="10"/>
      <c r="C16" s="9" t="s">
        <v>12</v>
      </c>
      <c r="D16" s="10"/>
      <c r="E16" s="10"/>
      <c r="F16" s="10"/>
      <c r="G16" s="10"/>
      <c r="H16" s="10"/>
      <c r="I16" s="6" t="s">
        <v>28</v>
      </c>
      <c r="J16" s="10" t="str">
        <f>Load!BG29</f>
        <v>KL14 AF 2789</v>
      </c>
      <c r="K16" s="10"/>
      <c r="L16" s="10"/>
      <c r="M16" s="10"/>
      <c r="N16" s="10"/>
      <c r="O16" s="10"/>
      <c r="P16" s="9" t="s">
        <v>34</v>
      </c>
      <c r="Q16" s="10"/>
      <c r="R16" s="10"/>
      <c r="S16" s="6" t="s">
        <v>28</v>
      </c>
      <c r="T16" s="29">
        <f>T12/2</f>
        <v>5</v>
      </c>
      <c r="U16" s="30" t="s">
        <v>32</v>
      </c>
    </row>
    <row r="17" spans="2:22" ht="16" customHeight="1">
      <c r="B17" s="10"/>
      <c r="C17" s="9" t="s">
        <v>11</v>
      </c>
      <c r="D17" s="10"/>
      <c r="E17" s="10"/>
      <c r="F17" s="10"/>
      <c r="G17" s="10"/>
      <c r="H17" s="10"/>
      <c r="I17" s="6" t="s">
        <v>28</v>
      </c>
      <c r="J17" s="10">
        <f>Load!AZ32</f>
        <v>0</v>
      </c>
      <c r="K17" s="10"/>
      <c r="L17" s="10"/>
      <c r="M17" s="10"/>
      <c r="N17" s="10"/>
      <c r="O17" s="10"/>
      <c r="P17" s="9" t="s">
        <v>35</v>
      </c>
      <c r="Q17" s="10"/>
      <c r="R17" s="10"/>
      <c r="S17" s="10"/>
      <c r="T17" s="10">
        <v>0</v>
      </c>
      <c r="U17" s="31" t="s">
        <v>36</v>
      </c>
    </row>
    <row r="18" spans="2:22">
      <c r="C18" s="9" t="s">
        <v>8</v>
      </c>
      <c r="D18" s="10"/>
      <c r="E18" s="10"/>
      <c r="F18" s="10"/>
      <c r="G18" s="10"/>
      <c r="H18" s="10"/>
      <c r="I18" s="6" t="s">
        <v>28</v>
      </c>
      <c r="J18" s="10">
        <f>Load!$AZ$34</f>
        <v>0</v>
      </c>
      <c r="K18" s="10"/>
      <c r="L18" s="10"/>
      <c r="M18" s="10"/>
      <c r="N18" s="10"/>
      <c r="O18" s="10"/>
    </row>
    <row r="19" spans="2:22">
      <c r="C19" s="9" t="s">
        <v>37</v>
      </c>
      <c r="D19" s="10"/>
      <c r="E19" s="10"/>
      <c r="F19" s="10"/>
      <c r="G19" s="10"/>
      <c r="H19" s="10"/>
      <c r="I19" s="6" t="s">
        <v>28</v>
      </c>
      <c r="J19" s="10" t="s">
        <v>25</v>
      </c>
      <c r="K19" s="10"/>
      <c r="L19" s="10"/>
      <c r="M19" s="10"/>
      <c r="N19" s="10"/>
      <c r="O19" s="10"/>
    </row>
    <row r="20" spans="2:22" ht="22" customHeight="1">
      <c r="B20" s="296" t="s">
        <v>38</v>
      </c>
      <c r="C20" s="296"/>
      <c r="D20" s="296"/>
      <c r="E20" s="296"/>
      <c r="F20" s="296"/>
      <c r="G20" s="296"/>
      <c r="H20" s="296"/>
      <c r="I20" s="296"/>
      <c r="J20" s="296"/>
      <c r="K20" s="296" t="s">
        <v>39</v>
      </c>
      <c r="L20" s="296"/>
      <c r="M20" s="296"/>
      <c r="N20" s="296" t="s">
        <v>40</v>
      </c>
      <c r="O20" s="296"/>
      <c r="P20" s="296"/>
      <c r="Q20" s="32" t="s">
        <v>41</v>
      </c>
      <c r="R20" s="296" t="s">
        <v>42</v>
      </c>
      <c r="S20" s="296"/>
      <c r="T20" s="296"/>
      <c r="U20" s="296"/>
    </row>
    <row r="21" spans="2:22" ht="14.5" customHeight="1">
      <c r="B21" s="297" t="str">
        <f>Load!W45</f>
        <v>M SAND</v>
      </c>
      <c r="C21" s="297"/>
      <c r="D21" s="12" t="str">
        <f>Load!AA45</f>
        <v xml:space="preserve">M SAND </v>
      </c>
      <c r="E21" s="293" t="str">
        <f>Load!AE45</f>
        <v>12 MM</v>
      </c>
      <c r="F21" s="293"/>
      <c r="G21" s="293"/>
      <c r="H21" s="14" t="str">
        <f>Load!AG45</f>
        <v>20 MM</v>
      </c>
      <c r="I21" s="293" t="str">
        <f>Load!AJ45</f>
        <v>0</v>
      </c>
      <c r="J21" s="293"/>
      <c r="K21" s="13" t="str">
        <f>Load!AL45</f>
        <v>CEM 1</v>
      </c>
      <c r="L21" s="13" t="str">
        <f>Load!AP45</f>
        <v>CEM 2</v>
      </c>
      <c r="M21" s="13" t="str">
        <f>Load!AR45</f>
        <v>CEM 3</v>
      </c>
      <c r="O21" s="293" t="str">
        <f>Load!BC45</f>
        <v>WATER</v>
      </c>
      <c r="P21" s="293"/>
      <c r="Q21" s="5" t="s">
        <v>43</v>
      </c>
      <c r="R21" s="297" t="str">
        <f>Load!AV45</f>
        <v>ADMIX1</v>
      </c>
      <c r="S21" s="297"/>
      <c r="T21" s="297" t="str">
        <f>Load!AY45</f>
        <v>ADMIX2</v>
      </c>
      <c r="U21" s="297"/>
    </row>
    <row r="22" spans="2:22">
      <c r="B22" s="10" t="s">
        <v>44</v>
      </c>
    </row>
    <row r="23" spans="2:22" s="2" customFormat="1" ht="20.5" customHeight="1">
      <c r="B23" s="294">
        <f>Load!W46</f>
        <v>0</v>
      </c>
      <c r="C23" s="294"/>
      <c r="D23" s="15">
        <f>Load!AA46</f>
        <v>743</v>
      </c>
      <c r="E23" s="295">
        <f>Load!AE46</f>
        <v>435</v>
      </c>
      <c r="F23" s="295"/>
      <c r="G23" s="295"/>
      <c r="H23" s="15">
        <f>Load!AG46</f>
        <v>681</v>
      </c>
      <c r="I23" s="295"/>
      <c r="J23" s="295"/>
      <c r="K23" s="27">
        <f>Load!AL46</f>
        <v>340</v>
      </c>
      <c r="L23" s="27">
        <f>Load!AP46</f>
        <v>0</v>
      </c>
      <c r="M23" s="27">
        <f>Load!AR46</f>
        <v>100</v>
      </c>
      <c r="N23" s="27">
        <v>0</v>
      </c>
      <c r="O23" s="294">
        <f>Load!BC46</f>
        <v>154</v>
      </c>
      <c r="P23" s="294"/>
      <c r="Q23" s="33">
        <v>0</v>
      </c>
      <c r="R23" s="292">
        <f>Load!AV46</f>
        <v>2.6</v>
      </c>
      <c r="S23" s="292"/>
      <c r="T23" s="292">
        <f>Load!AY46</f>
        <v>0</v>
      </c>
      <c r="U23" s="292"/>
    </row>
    <row r="24" spans="2:22" ht="20.149999999999999" customHeight="1">
      <c r="B24" s="5" t="s">
        <v>45</v>
      </c>
    </row>
    <row r="25" spans="2:22">
      <c r="B25" s="280">
        <f>Load!W47</f>
        <v>0</v>
      </c>
      <c r="C25" s="280"/>
      <c r="D25" s="17">
        <f>Load!AA47</f>
        <v>2</v>
      </c>
      <c r="E25" s="280">
        <f>Load!AE47</f>
        <v>1</v>
      </c>
      <c r="F25" s="280"/>
      <c r="G25" s="280"/>
      <c r="H25" s="18">
        <f>Load!AG47</f>
        <v>1</v>
      </c>
      <c r="I25" s="280">
        <v>0</v>
      </c>
      <c r="J25" s="280"/>
      <c r="K25" s="14"/>
      <c r="L25" s="14"/>
      <c r="M25" s="14"/>
      <c r="N25" s="14"/>
      <c r="O25" s="293">
        <v>0</v>
      </c>
      <c r="P25" s="293"/>
      <c r="Q25" s="14"/>
      <c r="R25" s="14"/>
      <c r="S25" s="14"/>
      <c r="T25" s="14"/>
      <c r="U25" s="14"/>
    </row>
    <row r="26" spans="2:22">
      <c r="B26" s="280">
        <f>Load!W48</f>
        <v>0</v>
      </c>
      <c r="C26" s="280"/>
      <c r="D26" s="124">
        <f>Load!AA48</f>
        <v>4.5</v>
      </c>
      <c r="E26" s="280">
        <f>Load!AE48</f>
        <v>0</v>
      </c>
      <c r="F26" s="280"/>
      <c r="G26" s="280"/>
      <c r="H26" s="16">
        <f>Load!AG48</f>
        <v>0</v>
      </c>
      <c r="I26" s="280">
        <v>0</v>
      </c>
      <c r="J26" s="280"/>
      <c r="K26" s="14"/>
      <c r="L26" s="14"/>
      <c r="M26" s="14"/>
      <c r="N26" s="13" t="s">
        <v>46</v>
      </c>
      <c r="O26" s="279">
        <v>0</v>
      </c>
      <c r="P26" s="279"/>
      <c r="Q26" s="14"/>
      <c r="R26" s="14"/>
      <c r="S26" s="14"/>
      <c r="T26" s="14"/>
      <c r="U26" s="14"/>
    </row>
    <row r="27" spans="2:22" ht="14.5" customHeight="1">
      <c r="B27" s="286">
        <f>(((B26-B25)*(B23*T16))/100)+(((B26-B25)*(((B26-B25)*(B23*T16))/100))/100)+(B23*T16)</f>
        <v>0</v>
      </c>
      <c r="C27" s="286"/>
      <c r="D27" s="20">
        <f>(((D26-D25)*(D23*T16))/100)+(((D26-D25)*(((D26-D25)*(D23*T16))/100))/100)+(D23*T16)</f>
        <v>3810.1968750000001</v>
      </c>
      <c r="E27" s="286">
        <f>(((E26-E25)*(E23*T16))/100)+(((E26-E25)*(((E26-E25)*(T16*E23))/100))/100)+(T16*E23)</f>
        <v>2153.4675000000002</v>
      </c>
      <c r="F27" s="286">
        <f t="shared" ref="F27:J27" si="0">(((F26-F25)*F23)/100)+(((F26-F25)*(((F26-F25)*F23)/100))/100)+F23</f>
        <v>0</v>
      </c>
      <c r="G27" s="286">
        <f t="shared" si="0"/>
        <v>0</v>
      </c>
      <c r="H27" s="21">
        <f>(((H26-H25)*(T16*H23))/100)+(((H26-H25)*(((H26-H25)*(T16*H23))/100))/100)+(T16*H23)</f>
        <v>3371.2905000000001</v>
      </c>
      <c r="I27" s="286">
        <f>(((I26-I25)*(T16*I23))/100)+(((I26-I25)*(((I26-I25)*(T16*I23))/100))/100)+(T16*I23)</f>
        <v>0</v>
      </c>
      <c r="J27" s="286">
        <f t="shared" si="0"/>
        <v>0</v>
      </c>
      <c r="K27" s="21">
        <f>K23*T16</f>
        <v>1700</v>
      </c>
      <c r="L27" s="21">
        <f>L23*T16</f>
        <v>0</v>
      </c>
      <c r="M27" s="21">
        <f>M23*T16</f>
        <v>500</v>
      </c>
      <c r="N27" s="25">
        <v>0</v>
      </c>
      <c r="O27" s="291">
        <f>(T16*O23)-(((B27*B26/100)-(B27*B25/100))+((D27*D26/100)-(D27*D25/100))+((E27*E26/100)-(E27*E25/100))+((H27*H26/100)-(H27*H25/100)))</f>
        <v>729.99265812500005</v>
      </c>
      <c r="P27" s="291"/>
      <c r="Q27" s="34">
        <v>0</v>
      </c>
      <c r="R27" s="280">
        <f>R23*T16</f>
        <v>13</v>
      </c>
      <c r="S27" s="280"/>
      <c r="T27" s="289">
        <f>T23*T16</f>
        <v>0</v>
      </c>
      <c r="U27" s="289"/>
    </row>
    <row r="28" spans="2:22">
      <c r="B28" s="286">
        <f ca="1">$B$27+($B$27*1*(0.5-RAND()))/100</f>
        <v>0</v>
      </c>
      <c r="C28" s="286"/>
      <c r="D28" s="21">
        <f ca="1">$D$27+($D$27*1*(0.5-RAND()))/100</f>
        <v>3819.8338028392463</v>
      </c>
      <c r="E28" s="286">
        <f ca="1">$E$27+($E$27*1*(0.5-RAND()))/100</f>
        <v>2164.0365437003184</v>
      </c>
      <c r="F28" s="286"/>
      <c r="G28" s="286"/>
      <c r="H28" s="21">
        <f ca="1">$H$27+($H$27*1*(0.5-RAND()))/100</f>
        <v>3371.6969189336778</v>
      </c>
      <c r="I28" s="286">
        <f ca="1">$I$27+($I$27*1*(0.5-RAND()))/100</f>
        <v>0</v>
      </c>
      <c r="J28" s="286"/>
      <c r="K28" s="21">
        <f ca="1">$K$27+($K$27*2*(0.5-RAND()))/100</f>
        <v>1709.9998934871171</v>
      </c>
      <c r="L28" s="21">
        <f ca="1">$L$27+($L$27*2*(0.5-RAND()))/100</f>
        <v>0</v>
      </c>
      <c r="M28" s="21">
        <f ca="1">$M$27+($M$27*2*(0.5-RAND()))/100</f>
        <v>502.39870853501509</v>
      </c>
      <c r="N28" s="25">
        <f ca="1">N27+(N27*1*(0.5-RAND()))/100</f>
        <v>0</v>
      </c>
      <c r="O28" s="286">
        <f ca="1">$O$27+($O$27*(Load!$BM$46+Load!$BO$46*RAND()))/100</f>
        <v>741.09264361737701</v>
      </c>
      <c r="P28" s="286"/>
      <c r="Q28" s="34">
        <v>0</v>
      </c>
      <c r="R28" s="280">
        <f ca="1">$R$27+($R$27*2*(0.5-RAND()))/100</f>
        <v>13.088374708839266</v>
      </c>
      <c r="S28" s="280"/>
      <c r="T28" s="290">
        <v>0</v>
      </c>
      <c r="U28" s="290"/>
    </row>
    <row r="29" spans="2:22" s="3" customFormat="1">
      <c r="B29" s="280">
        <f>$B$25</f>
        <v>0</v>
      </c>
      <c r="C29" s="280"/>
      <c r="D29" s="17">
        <f>$D$25</f>
        <v>2</v>
      </c>
      <c r="E29" s="280">
        <f>$E$25</f>
        <v>1</v>
      </c>
      <c r="F29" s="280"/>
      <c r="G29" s="280"/>
      <c r="H29" s="18">
        <f>$H$25</f>
        <v>1</v>
      </c>
      <c r="I29" s="280">
        <v>0</v>
      </c>
      <c r="J29" s="280"/>
      <c r="K29" s="14"/>
      <c r="L29" s="14"/>
      <c r="M29" s="14"/>
      <c r="N29" s="14"/>
      <c r="O29" s="293">
        <v>0</v>
      </c>
      <c r="P29" s="293"/>
      <c r="Q29" s="14"/>
      <c r="R29" s="14"/>
      <c r="S29" s="14"/>
      <c r="T29" s="14"/>
      <c r="U29" s="14"/>
      <c r="V29" s="5"/>
    </row>
    <row r="30" spans="2:22" s="3" customFormat="1">
      <c r="B30" s="280">
        <f>$B$26</f>
        <v>0</v>
      </c>
      <c r="C30" s="280"/>
      <c r="D30" s="124">
        <f>$D$26</f>
        <v>4.5</v>
      </c>
      <c r="E30" s="280">
        <f>$E$26</f>
        <v>0</v>
      </c>
      <c r="F30" s="280"/>
      <c r="G30" s="280"/>
      <c r="H30" s="16">
        <f>$H$26</f>
        <v>0</v>
      </c>
      <c r="I30" s="280">
        <v>0</v>
      </c>
      <c r="J30" s="280"/>
      <c r="K30" s="14"/>
      <c r="L30" s="14"/>
      <c r="M30" s="14"/>
      <c r="N30" s="13" t="s">
        <v>46</v>
      </c>
      <c r="O30" s="279">
        <v>0</v>
      </c>
      <c r="P30" s="279"/>
      <c r="Q30" s="14"/>
      <c r="R30" s="14"/>
      <c r="S30" s="14"/>
      <c r="T30" s="14"/>
      <c r="U30" s="14"/>
      <c r="V30" s="5"/>
    </row>
    <row r="31" spans="2:22" s="3" customFormat="1">
      <c r="B31" s="286">
        <f>ROUND($B$27,0)</f>
        <v>0</v>
      </c>
      <c r="C31" s="286"/>
      <c r="D31" s="21">
        <f>ROUND(($D$27),0)</f>
        <v>3810</v>
      </c>
      <c r="E31" s="286">
        <f>ROUND($E$27,0)</f>
        <v>2153</v>
      </c>
      <c r="F31" s="286">
        <f t="shared" ref="F31:G31" si="1">F$27</f>
        <v>0</v>
      </c>
      <c r="G31" s="286">
        <f t="shared" si="1"/>
        <v>0</v>
      </c>
      <c r="H31" s="21">
        <f>ROUND($H$27,0)</f>
        <v>3371</v>
      </c>
      <c r="I31" s="286">
        <f>$I$27</f>
        <v>0</v>
      </c>
      <c r="J31" s="286">
        <f t="shared" ref="J31" si="2">J$27</f>
        <v>0</v>
      </c>
      <c r="K31" s="21">
        <f>$K$27</f>
        <v>1700</v>
      </c>
      <c r="L31" s="21">
        <f>$L$27</f>
        <v>0</v>
      </c>
      <c r="M31" s="21">
        <f>$M$27</f>
        <v>500</v>
      </c>
      <c r="N31" s="25">
        <f>$N$27</f>
        <v>0</v>
      </c>
      <c r="O31" s="286">
        <f>$O$27</f>
        <v>729.99265812500005</v>
      </c>
      <c r="P31" s="286">
        <f t="shared" ref="P31" si="3">P$27</f>
        <v>0</v>
      </c>
      <c r="Q31" s="16">
        <f>$Q$27</f>
        <v>0</v>
      </c>
      <c r="R31" s="280">
        <f>$R$27</f>
        <v>13</v>
      </c>
      <c r="S31" s="280">
        <f t="shared" ref="S31" si="4">S$27</f>
        <v>0</v>
      </c>
      <c r="T31" s="289">
        <f>$T$27</f>
        <v>0</v>
      </c>
      <c r="U31" s="289">
        <f t="shared" ref="U31" si="5">U$27</f>
        <v>0</v>
      </c>
      <c r="V31" s="5"/>
    </row>
    <row r="32" spans="2:22" s="3" customFormat="1">
      <c r="B32" s="286">
        <f ca="1">$B$27+($B$27*1*(0.5-RAND()))/100</f>
        <v>0</v>
      </c>
      <c r="C32" s="286"/>
      <c r="D32" s="21">
        <f ca="1">$D$27+($D$27*1*(0.5-RAND()))/100</f>
        <v>3823.4018343500779</v>
      </c>
      <c r="E32" s="286">
        <f ca="1">$E$27+($E$27*1*(0.5-RAND()))/100</f>
        <v>2153.9512353483433</v>
      </c>
      <c r="F32" s="286"/>
      <c r="G32" s="286"/>
      <c r="H32" s="21">
        <f ca="1">$H$27+($H$27*1*(0.5-RAND()))/100</f>
        <v>3363.2343338300548</v>
      </c>
      <c r="I32" s="286">
        <f ca="1">$I$27+($I$27*1*(0.5-RAND()))/100</f>
        <v>0</v>
      </c>
      <c r="J32" s="286"/>
      <c r="K32" s="21">
        <f ca="1">$K$27+($K$27*2*(0.5-RAND()))/100</f>
        <v>1685.736140281208</v>
      </c>
      <c r="L32" s="21">
        <f ca="1">$L$27+($L$27*2*(0.5-RAND()))/100</f>
        <v>0</v>
      </c>
      <c r="M32" s="21">
        <f ca="1">$M$27+($M$27*2*(0.5-RAND()))/100</f>
        <v>503.73134478461094</v>
      </c>
      <c r="N32" s="25">
        <v>0</v>
      </c>
      <c r="O32" s="286">
        <f ca="1">$O$27+($O$27*(Load!$BM$46+Load!$BO$46*RAND()))/100</f>
        <v>734.40973333791669</v>
      </c>
      <c r="P32" s="286"/>
      <c r="Q32" s="16">
        <v>0</v>
      </c>
      <c r="R32" s="280">
        <f ca="1">$R$27+($R$27*2*(0.5-RAND()))/100</f>
        <v>13.05861265657121</v>
      </c>
      <c r="S32" s="280"/>
      <c r="T32" s="290">
        <v>0</v>
      </c>
      <c r="U32" s="290"/>
      <c r="V32" s="5"/>
    </row>
    <row r="33" spans="2:21" s="4" customFormat="1" ht="18" customHeight="1">
      <c r="B33" s="22" t="s">
        <v>47</v>
      </c>
      <c r="C33" s="22"/>
      <c r="D33" s="23"/>
      <c r="E33" s="24"/>
      <c r="F33" s="24"/>
      <c r="G33" s="24"/>
      <c r="H33" s="23"/>
      <c r="I33" s="24"/>
      <c r="J33" s="24"/>
      <c r="K33" s="23"/>
      <c r="L33" s="23"/>
      <c r="M33" s="23"/>
      <c r="N33" s="28" t="s">
        <v>48</v>
      </c>
      <c r="O33" s="288">
        <v>0</v>
      </c>
      <c r="P33" s="288"/>
      <c r="Q33" s="23"/>
      <c r="R33" s="23"/>
      <c r="S33" s="23"/>
      <c r="T33" s="23"/>
      <c r="U33" s="23"/>
    </row>
    <row r="34" spans="2:21" s="3" customFormat="1" ht="17.5" customHeight="1">
      <c r="B34" s="285">
        <f>B31+B27</f>
        <v>0</v>
      </c>
      <c r="C34" s="285"/>
      <c r="D34" s="21">
        <f>ROUND((D31+D27),0)</f>
        <v>7620</v>
      </c>
      <c r="E34" s="286">
        <f>E31+E27</f>
        <v>4306.4675000000007</v>
      </c>
      <c r="F34" s="286"/>
      <c r="G34" s="286"/>
      <c r="H34" s="21">
        <f>H31+H27</f>
        <v>6742.2905000000001</v>
      </c>
      <c r="I34" s="286">
        <f>I31+I27</f>
        <v>0</v>
      </c>
      <c r="J34" s="286"/>
      <c r="K34" s="21">
        <f>K31+K27</f>
        <v>3400</v>
      </c>
      <c r="L34" s="21">
        <f>L31+L27</f>
        <v>0</v>
      </c>
      <c r="M34" s="21">
        <f>M31+M27</f>
        <v>1000</v>
      </c>
      <c r="N34" s="21">
        <v>0</v>
      </c>
      <c r="O34" s="287">
        <f>O31+O27</f>
        <v>1459.9853162500001</v>
      </c>
      <c r="P34" s="287"/>
      <c r="Q34" s="35">
        <f>Q31+Q27</f>
        <v>0</v>
      </c>
      <c r="R34" s="284">
        <f>R31+R27</f>
        <v>26</v>
      </c>
      <c r="S34" s="284"/>
      <c r="T34" s="284">
        <f>T31+T27</f>
        <v>0</v>
      </c>
      <c r="U34" s="284"/>
    </row>
    <row r="35" spans="2:21" s="3" customFormat="1" ht="22" customHeight="1">
      <c r="B35" s="2" t="s">
        <v>49</v>
      </c>
      <c r="C35" s="5"/>
      <c r="D35" s="14"/>
      <c r="E35" s="17"/>
      <c r="F35" s="17"/>
      <c r="G35" s="17"/>
      <c r="H35" s="14"/>
      <c r="I35" s="17"/>
      <c r="J35" s="17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</row>
    <row r="36" spans="2:21" s="3" customFormat="1" ht="17.5" customHeight="1">
      <c r="B36" s="285">
        <f ca="1">B32+B28</f>
        <v>0</v>
      </c>
      <c r="C36" s="285"/>
      <c r="D36" s="21">
        <f ca="1">D32+D28</f>
        <v>7643.2356371893238</v>
      </c>
      <c r="E36" s="286">
        <f ca="1">E32+E28</f>
        <v>4317.9877790486617</v>
      </c>
      <c r="F36" s="286"/>
      <c r="G36" s="286"/>
      <c r="H36" s="21">
        <f ca="1">H32+H28</f>
        <v>6734.9312527637321</v>
      </c>
      <c r="I36" s="286">
        <f ca="1">I32+I28</f>
        <v>0</v>
      </c>
      <c r="J36" s="286"/>
      <c r="K36" s="21">
        <f ca="1">K32+K28</f>
        <v>3395.7360337683249</v>
      </c>
      <c r="L36" s="21">
        <f ca="1">L32+L28</f>
        <v>0</v>
      </c>
      <c r="M36" s="21">
        <f ca="1">M32+M28</f>
        <v>1006.1300533196261</v>
      </c>
      <c r="N36" s="21">
        <v>0</v>
      </c>
      <c r="O36" s="287">
        <f ca="1">O32+O28</f>
        <v>1475.5023769552936</v>
      </c>
      <c r="P36" s="287"/>
      <c r="Q36" s="35">
        <f>Q32+Q28</f>
        <v>0</v>
      </c>
      <c r="R36" s="284">
        <f ca="1">R32+R28</f>
        <v>26.146987365410475</v>
      </c>
      <c r="S36" s="284"/>
      <c r="T36" s="284">
        <f>T32+T28</f>
        <v>0</v>
      </c>
      <c r="U36" s="284">
        <f t="shared" ref="U36" si="6">U32+U28</f>
        <v>0</v>
      </c>
    </row>
    <row r="37" spans="2:21" s="3" customFormat="1" ht="2.5" customHeight="1">
      <c r="B37" s="283"/>
      <c r="C37" s="283"/>
      <c r="D37" s="283"/>
      <c r="E37" s="283"/>
      <c r="F37" s="283"/>
      <c r="G37" s="283"/>
      <c r="H37" s="283"/>
      <c r="I37" s="283"/>
      <c r="J37" s="283"/>
      <c r="K37" s="283"/>
      <c r="L37" s="283"/>
      <c r="M37" s="283"/>
      <c r="N37" s="283"/>
      <c r="O37" s="283"/>
      <c r="P37" s="283"/>
      <c r="Q37" s="283"/>
      <c r="R37" s="283"/>
      <c r="S37" s="283"/>
      <c r="T37" s="283"/>
      <c r="U37" s="283"/>
    </row>
    <row r="38" spans="2:21" s="3" customFormat="1" ht="9.65" customHeight="1">
      <c r="B38" s="5"/>
      <c r="C38" s="5"/>
      <c r="D38" s="26"/>
      <c r="E38" s="17"/>
      <c r="F38" s="17"/>
      <c r="G38" s="17"/>
      <c r="H38" s="26"/>
      <c r="I38" s="17"/>
      <c r="J38" s="17"/>
      <c r="K38" s="26"/>
      <c r="L38" s="26"/>
      <c r="M38" s="26"/>
      <c r="N38" s="26"/>
      <c r="O38" s="26"/>
      <c r="P38" s="26"/>
      <c r="Q38" s="36"/>
      <c r="S38" s="26"/>
      <c r="T38" s="26"/>
      <c r="U38" s="26"/>
    </row>
    <row r="39" spans="2:21" s="3" customFormat="1">
      <c r="B39" s="5"/>
      <c r="C39" s="5"/>
      <c r="D39" s="26"/>
      <c r="E39" s="17"/>
      <c r="F39" s="17"/>
      <c r="G39" s="17"/>
      <c r="H39" s="26"/>
      <c r="I39" s="17"/>
      <c r="J39" s="17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</row>
    <row r="40" spans="2:21" s="3" customFormat="1">
      <c r="B40" s="5"/>
      <c r="C40" s="5"/>
      <c r="D40" s="26"/>
      <c r="E40" s="17"/>
      <c r="F40" s="17"/>
      <c r="G40" s="17"/>
      <c r="H40" s="26"/>
      <c r="I40" s="17"/>
      <c r="J40" s="17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</row>
    <row r="41" spans="2:21" s="3" customFormat="1">
      <c r="B41" s="5"/>
      <c r="C41" s="5"/>
      <c r="D41" s="26"/>
      <c r="E41" s="17"/>
      <c r="F41" s="17"/>
      <c r="G41" s="17"/>
      <c r="H41" s="26"/>
      <c r="I41" s="17"/>
      <c r="J41" s="17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</row>
    <row r="42" spans="2:21" s="3" customFormat="1">
      <c r="B42" s="5"/>
      <c r="C42" s="5"/>
      <c r="D42" s="26"/>
      <c r="E42" s="17"/>
      <c r="F42" s="17"/>
      <c r="G42" s="17"/>
      <c r="H42" s="26"/>
      <c r="I42" s="17"/>
      <c r="J42" s="17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</row>
    <row r="43" spans="2:21" s="3" customFormat="1">
      <c r="B43" s="279"/>
      <c r="C43" s="279"/>
      <c r="D43" s="26"/>
      <c r="E43" s="280"/>
      <c r="F43" s="280"/>
      <c r="G43" s="280"/>
      <c r="H43" s="26"/>
      <c r="I43" s="280"/>
      <c r="J43" s="280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</row>
    <row r="44" spans="2:21" s="3" customFormat="1">
      <c r="B44" s="279"/>
      <c r="C44" s="279"/>
      <c r="D44" s="26"/>
      <c r="E44" s="280"/>
      <c r="F44" s="280"/>
      <c r="G44" s="280"/>
      <c r="H44" s="26"/>
      <c r="I44" s="280"/>
      <c r="J44" s="280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</row>
    <row r="45" spans="2:21" s="3" customFormat="1">
      <c r="B45" s="279"/>
      <c r="C45" s="279"/>
      <c r="D45" s="26"/>
      <c r="E45" s="26"/>
      <c r="F45" s="26"/>
      <c r="G45" s="26"/>
      <c r="H45" s="26"/>
      <c r="I45" s="280"/>
      <c r="J45" s="280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</row>
    <row r="46" spans="2:21" s="3" customFormat="1">
      <c r="B46" s="279"/>
      <c r="C46" s="279"/>
      <c r="D46" s="26"/>
      <c r="E46" s="26"/>
      <c r="F46" s="26"/>
      <c r="G46" s="26"/>
      <c r="H46" s="26"/>
      <c r="I46" s="280"/>
      <c r="J46" s="280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</row>
    <row r="47" spans="2:21" s="3" customFormat="1">
      <c r="B47" s="279"/>
      <c r="C47" s="279"/>
      <c r="D47" s="26"/>
      <c r="E47" s="26"/>
      <c r="F47" s="26"/>
      <c r="G47" s="26"/>
      <c r="H47" s="26"/>
      <c r="I47" s="280"/>
      <c r="J47" s="280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</row>
    <row r="48" spans="2:21" s="3" customFormat="1">
      <c r="B48" s="279"/>
      <c r="C48" s="279"/>
      <c r="D48" s="26"/>
      <c r="E48" s="26"/>
      <c r="F48" s="26"/>
      <c r="G48" s="26"/>
      <c r="H48" s="26"/>
      <c r="I48" s="280"/>
      <c r="J48" s="280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</row>
    <row r="49" spans="2:21" s="3" customFormat="1">
      <c r="B49" s="26"/>
      <c r="C49" s="26"/>
      <c r="D49" s="26"/>
      <c r="E49" s="26"/>
      <c r="F49" s="26"/>
      <c r="G49" s="26"/>
      <c r="H49" s="26"/>
      <c r="I49" s="281"/>
      <c r="J49" s="281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</row>
    <row r="50" spans="2:21"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</row>
    <row r="51" spans="2:21"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</row>
    <row r="52" spans="2:21"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</row>
    <row r="53" spans="2:21"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</row>
    <row r="54" spans="2:21"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</row>
    <row r="55" spans="2:21"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</row>
    <row r="56" spans="2:21"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</row>
    <row r="57" spans="2:21"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</row>
    <row r="58" spans="2:21"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</row>
    <row r="59" spans="2:21"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</row>
    <row r="60" spans="2:21"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</row>
  </sheetData>
  <sheetProtection selectLockedCells="1"/>
  <mergeCells count="94">
    <mergeCell ref="R20:U20"/>
    <mergeCell ref="B2:U2"/>
    <mergeCell ref="E3:Q4"/>
    <mergeCell ref="B7:U7"/>
    <mergeCell ref="G8:J8"/>
    <mergeCell ref="P8:R8"/>
    <mergeCell ref="S8:T8"/>
    <mergeCell ref="G9:J9"/>
    <mergeCell ref="G10:J10"/>
    <mergeCell ref="B20:J20"/>
    <mergeCell ref="K20:M20"/>
    <mergeCell ref="N20:P20"/>
    <mergeCell ref="J11:K11"/>
    <mergeCell ref="T23:U23"/>
    <mergeCell ref="B21:C21"/>
    <mergeCell ref="E21:G21"/>
    <mergeCell ref="I21:J21"/>
    <mergeCell ref="O21:P21"/>
    <mergeCell ref="R21:S21"/>
    <mergeCell ref="T21:U21"/>
    <mergeCell ref="B23:C23"/>
    <mergeCell ref="E23:G23"/>
    <mergeCell ref="I23:J23"/>
    <mergeCell ref="O23:P23"/>
    <mergeCell ref="R23:S23"/>
    <mergeCell ref="B25:C25"/>
    <mergeCell ref="E25:G25"/>
    <mergeCell ref="I25:J25"/>
    <mergeCell ref="O25:P25"/>
    <mergeCell ref="B26:C26"/>
    <mergeCell ref="E26:G26"/>
    <mergeCell ref="I26:J26"/>
    <mergeCell ref="O26:P26"/>
    <mergeCell ref="T28:U28"/>
    <mergeCell ref="B27:C27"/>
    <mergeCell ref="E27:G27"/>
    <mergeCell ref="I27:J27"/>
    <mergeCell ref="O27:P27"/>
    <mergeCell ref="R27:S27"/>
    <mergeCell ref="T27:U27"/>
    <mergeCell ref="B28:C28"/>
    <mergeCell ref="E28:G28"/>
    <mergeCell ref="I28:J28"/>
    <mergeCell ref="O28:P28"/>
    <mergeCell ref="R28:S28"/>
    <mergeCell ref="B29:C29"/>
    <mergeCell ref="E29:G29"/>
    <mergeCell ref="I29:J29"/>
    <mergeCell ref="O29:P29"/>
    <mergeCell ref="B30:C30"/>
    <mergeCell ref="E30:G30"/>
    <mergeCell ref="I30:J30"/>
    <mergeCell ref="O30:P30"/>
    <mergeCell ref="T32:U32"/>
    <mergeCell ref="B31:C31"/>
    <mergeCell ref="E31:G31"/>
    <mergeCell ref="I31:J31"/>
    <mergeCell ref="O31:P31"/>
    <mergeCell ref="R31:S31"/>
    <mergeCell ref="T31:U31"/>
    <mergeCell ref="B32:C32"/>
    <mergeCell ref="E32:G32"/>
    <mergeCell ref="I32:J32"/>
    <mergeCell ref="O32:P32"/>
    <mergeCell ref="R32:S32"/>
    <mergeCell ref="O33:P33"/>
    <mergeCell ref="B34:C34"/>
    <mergeCell ref="E34:G34"/>
    <mergeCell ref="I34:J34"/>
    <mergeCell ref="O34:P34"/>
    <mergeCell ref="T34:U34"/>
    <mergeCell ref="B36:C36"/>
    <mergeCell ref="E36:G36"/>
    <mergeCell ref="I36:J36"/>
    <mergeCell ref="O36:P36"/>
    <mergeCell ref="R36:S36"/>
    <mergeCell ref="T36:U36"/>
    <mergeCell ref="R34:S34"/>
    <mergeCell ref="B37:U37"/>
    <mergeCell ref="B43:C43"/>
    <mergeCell ref="E43:G43"/>
    <mergeCell ref="I43:J43"/>
    <mergeCell ref="B44:C44"/>
    <mergeCell ref="E44:G44"/>
    <mergeCell ref="I44:J44"/>
    <mergeCell ref="B48:C48"/>
    <mergeCell ref="I48:J48"/>
    <mergeCell ref="I49:J49"/>
    <mergeCell ref="B45:C45"/>
    <mergeCell ref="I45:J45"/>
    <mergeCell ref="B46:C46"/>
    <mergeCell ref="I46:J46"/>
    <mergeCell ref="B47:C47"/>
    <mergeCell ref="I47:J47"/>
  </mergeCells>
  <printOptions horizontalCentered="1"/>
  <pageMargins left="3.9370078740157501E-2" right="3.9370078740157501E-2" top="0.55118110236220497" bottom="0.43307086614173201" header="0.196850393700787" footer="0.31496062992126"/>
  <pageSetup scale="94"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B1:V64"/>
  <sheetViews>
    <sheetView showGridLines="0" workbookViewId="0">
      <selection activeCell="X10" sqref="X10"/>
    </sheetView>
  </sheetViews>
  <sheetFormatPr defaultColWidth="8.7265625" defaultRowHeight="14"/>
  <cols>
    <col min="1" max="1" width="8.7265625" style="5"/>
    <col min="2" max="2" width="2.453125" style="5" customWidth="1"/>
    <col min="3" max="3" width="4.7265625" style="5" customWidth="1"/>
    <col min="4" max="4" width="6.453125" style="5" customWidth="1"/>
    <col min="5" max="7" width="2.54296875" style="5" customWidth="1"/>
    <col min="8" max="8" width="7.453125" style="5" customWidth="1"/>
    <col min="9" max="9" width="2.7265625" style="5" customWidth="1"/>
    <col min="10" max="10" width="4.1796875" style="5" customWidth="1"/>
    <col min="11" max="13" width="8.1796875" style="5" customWidth="1"/>
    <col min="14" max="14" width="9.54296875" style="5" customWidth="1"/>
    <col min="15" max="16" width="4.54296875" style="5" customWidth="1"/>
    <col min="17" max="17" width="10.453125" style="5" customWidth="1"/>
    <col min="18" max="19" width="4.7265625" style="5" customWidth="1"/>
    <col min="20" max="20" width="7.1796875" style="5" customWidth="1"/>
    <col min="21" max="21" width="3.26953125" style="5" customWidth="1"/>
    <col min="22" max="22" width="6.453125" style="5" customWidth="1"/>
    <col min="23" max="16384" width="8.7265625" style="5"/>
  </cols>
  <sheetData>
    <row r="1" spans="2:21" ht="8.15" customHeight="1"/>
    <row r="2" spans="2:21" ht="20">
      <c r="B2" s="300" t="s">
        <v>22</v>
      </c>
      <c r="C2" s="300"/>
      <c r="D2" s="300"/>
      <c r="E2" s="300"/>
      <c r="F2" s="300"/>
      <c r="G2" s="300"/>
      <c r="H2" s="300"/>
      <c r="I2" s="300"/>
      <c r="J2" s="300"/>
      <c r="K2" s="300"/>
      <c r="L2" s="300"/>
      <c r="M2" s="300"/>
      <c r="N2" s="300"/>
      <c r="O2" s="300"/>
      <c r="P2" s="300"/>
      <c r="Q2" s="300"/>
      <c r="R2" s="300"/>
      <c r="S2" s="300"/>
      <c r="T2" s="300"/>
      <c r="U2" s="300"/>
    </row>
    <row r="3" spans="2:21" ht="16" customHeight="1">
      <c r="E3" s="282" t="s">
        <v>23</v>
      </c>
      <c r="F3" s="282"/>
      <c r="G3" s="282"/>
      <c r="H3" s="282"/>
      <c r="I3" s="282"/>
      <c r="J3" s="282"/>
      <c r="K3" s="282"/>
      <c r="L3" s="282"/>
      <c r="M3" s="282"/>
      <c r="N3" s="282"/>
      <c r="O3" s="282"/>
      <c r="P3" s="282"/>
      <c r="Q3" s="282"/>
    </row>
    <row r="4" spans="2:21" ht="16" customHeight="1">
      <c r="E4" s="282"/>
      <c r="F4" s="282"/>
      <c r="G4" s="282"/>
      <c r="H4" s="282"/>
      <c r="I4" s="282"/>
      <c r="J4" s="282"/>
      <c r="K4" s="282"/>
      <c r="L4" s="282"/>
      <c r="M4" s="282"/>
      <c r="N4" s="282"/>
      <c r="O4" s="282"/>
      <c r="P4" s="282"/>
      <c r="Q4" s="282"/>
    </row>
    <row r="5" spans="2:21" ht="16.5" customHeight="1">
      <c r="D5" s="5" t="s">
        <v>24</v>
      </c>
    </row>
    <row r="6" spans="2:21">
      <c r="D6" s="5" t="s">
        <v>25</v>
      </c>
    </row>
    <row r="7" spans="2:21" ht="21.65" customHeight="1">
      <c r="B7" s="296" t="s">
        <v>26</v>
      </c>
      <c r="C7" s="296"/>
      <c r="D7" s="296"/>
      <c r="E7" s="296"/>
      <c r="F7" s="296"/>
      <c r="G7" s="296"/>
      <c r="H7" s="296"/>
      <c r="I7" s="296"/>
      <c r="J7" s="296"/>
      <c r="K7" s="296"/>
      <c r="L7" s="296"/>
      <c r="M7" s="296"/>
      <c r="N7" s="296"/>
      <c r="O7" s="296"/>
      <c r="P7" s="296"/>
      <c r="Q7" s="296"/>
      <c r="R7" s="296"/>
      <c r="S7" s="296"/>
      <c r="T7" s="296"/>
      <c r="U7" s="296"/>
    </row>
    <row r="8" spans="2:21" s="2" customFormat="1" ht="18.649999999999999" customHeight="1">
      <c r="B8" s="6" t="s">
        <v>27</v>
      </c>
      <c r="C8" s="6"/>
      <c r="D8" s="7"/>
      <c r="E8" s="7"/>
      <c r="F8" s="8" t="s">
        <v>28</v>
      </c>
      <c r="G8" s="301">
        <f>Load!J17</f>
        <v>46218</v>
      </c>
      <c r="H8" s="301"/>
      <c r="I8" s="301"/>
      <c r="J8" s="301"/>
      <c r="K8" s="7"/>
      <c r="L8" s="7"/>
      <c r="M8" s="7"/>
      <c r="N8" s="7"/>
      <c r="O8" s="7"/>
      <c r="P8" s="302" t="s">
        <v>29</v>
      </c>
      <c r="Q8" s="302"/>
      <c r="R8" s="302"/>
      <c r="S8" s="303">
        <v>160</v>
      </c>
      <c r="T8" s="303"/>
      <c r="U8" s="7"/>
    </row>
    <row r="9" spans="2:21">
      <c r="B9" s="9" t="s">
        <v>3</v>
      </c>
      <c r="C9" s="9"/>
      <c r="D9" s="10"/>
      <c r="E9" s="10"/>
      <c r="F9" s="11" t="s">
        <v>28</v>
      </c>
      <c r="G9" s="298">
        <f>Load!$K$19</f>
        <v>0.50232638888888892</v>
      </c>
      <c r="H9" s="298"/>
      <c r="I9" s="298"/>
      <c r="J9" s="298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</row>
    <row r="10" spans="2:21">
      <c r="B10" s="9" t="s">
        <v>31</v>
      </c>
      <c r="C10" s="9"/>
      <c r="D10" s="10"/>
      <c r="E10" s="10"/>
      <c r="F10" s="11" t="s">
        <v>28</v>
      </c>
      <c r="G10" s="298">
        <f>Load!K21</f>
        <v>0.51138888888888889</v>
      </c>
      <c r="H10" s="298"/>
      <c r="I10" s="298"/>
      <c r="J10" s="298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</row>
    <row r="11" spans="2:21" s="2" customFormat="1" ht="20.149999999999999" customHeight="1">
      <c r="B11" s="7"/>
      <c r="C11" s="6" t="s">
        <v>0</v>
      </c>
      <c r="D11" s="7"/>
      <c r="E11" s="7"/>
      <c r="F11" s="7"/>
      <c r="G11" s="7"/>
      <c r="H11" s="7"/>
      <c r="I11" s="6" t="s">
        <v>28</v>
      </c>
      <c r="J11" s="299">
        <f>Load!AN26</f>
        <v>8338</v>
      </c>
      <c r="K11" s="299"/>
      <c r="L11" s="7"/>
      <c r="M11" s="7"/>
      <c r="N11" s="7"/>
      <c r="O11" s="7"/>
      <c r="P11" s="6" t="s">
        <v>1</v>
      </c>
      <c r="Q11" s="7"/>
      <c r="R11" s="7"/>
      <c r="S11" s="6" t="s">
        <v>28</v>
      </c>
      <c r="T11" s="29">
        <f>Load!BN26</f>
        <v>45</v>
      </c>
      <c r="U11" s="30" t="s">
        <v>32</v>
      </c>
    </row>
    <row r="12" spans="2:21" ht="16" customHeight="1">
      <c r="B12" s="10"/>
      <c r="C12" s="9" t="s">
        <v>5</v>
      </c>
      <c r="D12" s="10"/>
      <c r="E12" s="10"/>
      <c r="F12" s="10"/>
      <c r="G12" s="10"/>
      <c r="H12" s="10"/>
      <c r="I12" s="6" t="s">
        <v>28</v>
      </c>
      <c r="J12" s="10" t="str">
        <f>Load!M26</f>
        <v>JHEERNNODHARA SAMITHI ANANTHAPURAM</v>
      </c>
      <c r="K12" s="10"/>
      <c r="L12" s="10"/>
      <c r="M12" s="10"/>
      <c r="N12" s="10"/>
      <c r="O12" s="10"/>
      <c r="P12" s="9" t="s">
        <v>2</v>
      </c>
      <c r="Q12" s="10"/>
      <c r="R12" s="10"/>
      <c r="S12" s="6" t="s">
        <v>28</v>
      </c>
      <c r="T12" s="29">
        <f>Load!AO29</f>
        <v>10</v>
      </c>
      <c r="U12" s="30" t="s">
        <v>32</v>
      </c>
    </row>
    <row r="13" spans="2:21" ht="16" customHeight="1">
      <c r="B13" s="10"/>
      <c r="C13" s="9" t="s">
        <v>7</v>
      </c>
      <c r="D13" s="10"/>
      <c r="E13" s="10"/>
      <c r="F13" s="10"/>
      <c r="G13" s="10"/>
      <c r="H13" s="10"/>
      <c r="I13" s="6" t="s">
        <v>28</v>
      </c>
      <c r="J13" s="10" t="str">
        <f>Load!M34</f>
        <v>BOVIKANAM</v>
      </c>
      <c r="K13" s="10"/>
      <c r="P13" s="9" t="s">
        <v>4</v>
      </c>
      <c r="Q13" s="10"/>
      <c r="R13" s="10"/>
      <c r="S13" s="6" t="s">
        <v>28</v>
      </c>
      <c r="T13" s="29">
        <v>0</v>
      </c>
      <c r="U13" s="30" t="s">
        <v>32</v>
      </c>
    </row>
    <row r="14" spans="2:21" ht="16" customHeight="1">
      <c r="B14" s="10"/>
      <c r="C14" s="9" t="s">
        <v>9</v>
      </c>
      <c r="D14" s="10"/>
      <c r="E14" s="10"/>
      <c r="F14" s="10"/>
      <c r="G14" s="10"/>
      <c r="H14" s="10"/>
      <c r="I14" s="6" t="s">
        <v>28</v>
      </c>
      <c r="J14" s="10" t="str">
        <f>Load!M29</f>
        <v>M 40 A</v>
      </c>
      <c r="K14" s="10"/>
      <c r="L14" s="10"/>
      <c r="M14" s="10"/>
      <c r="N14" s="10"/>
      <c r="O14" s="10"/>
      <c r="P14" s="9" t="s">
        <v>6</v>
      </c>
      <c r="Q14" s="10"/>
      <c r="R14" s="10"/>
      <c r="S14" s="6" t="s">
        <v>28</v>
      </c>
      <c r="T14" s="29">
        <f>Load!BE26</f>
        <v>31</v>
      </c>
      <c r="U14" s="30" t="s">
        <v>32</v>
      </c>
    </row>
    <row r="15" spans="2:21" ht="16" customHeight="1">
      <c r="B15" s="10"/>
      <c r="C15" s="9" t="s">
        <v>10</v>
      </c>
      <c r="D15" s="10"/>
      <c r="E15" s="10"/>
      <c r="F15" s="10"/>
      <c r="G15" s="10"/>
      <c r="H15" s="10"/>
      <c r="I15" s="6" t="s">
        <v>28</v>
      </c>
      <c r="J15" s="10">
        <f>Load!M32</f>
        <v>0</v>
      </c>
      <c r="K15" s="10"/>
      <c r="L15" s="10"/>
      <c r="M15" s="10"/>
      <c r="N15" s="10"/>
      <c r="O15" s="10"/>
      <c r="P15" s="9" t="s">
        <v>33</v>
      </c>
      <c r="Q15" s="10"/>
      <c r="R15" s="10"/>
      <c r="S15" s="6" t="s">
        <v>28</v>
      </c>
      <c r="T15" s="29">
        <v>1</v>
      </c>
      <c r="U15" s="30" t="s">
        <v>32</v>
      </c>
    </row>
    <row r="16" spans="2:21" ht="16" customHeight="1">
      <c r="B16" s="10"/>
      <c r="C16" s="9" t="s">
        <v>12</v>
      </c>
      <c r="D16" s="10"/>
      <c r="E16" s="10"/>
      <c r="F16" s="10"/>
      <c r="G16" s="10"/>
      <c r="H16" s="10"/>
      <c r="I16" s="6" t="s">
        <v>28</v>
      </c>
      <c r="J16" s="10" t="str">
        <f>Load!BG29</f>
        <v>KL14 AF 2789</v>
      </c>
      <c r="K16" s="10"/>
      <c r="L16" s="10"/>
      <c r="M16" s="10"/>
      <c r="N16" s="10"/>
      <c r="O16" s="10"/>
      <c r="P16" s="9" t="s">
        <v>34</v>
      </c>
      <c r="Q16" s="10"/>
      <c r="R16" s="10"/>
      <c r="S16" s="6" t="s">
        <v>28</v>
      </c>
      <c r="T16" s="29">
        <f>T12/3</f>
        <v>3.3333333333333335</v>
      </c>
      <c r="U16" s="30" t="s">
        <v>32</v>
      </c>
    </row>
    <row r="17" spans="2:22" ht="16" customHeight="1">
      <c r="B17" s="10"/>
      <c r="C17" s="9" t="s">
        <v>11</v>
      </c>
      <c r="D17" s="10"/>
      <c r="E17" s="10"/>
      <c r="F17" s="10"/>
      <c r="G17" s="10"/>
      <c r="H17" s="10"/>
      <c r="I17" s="6" t="s">
        <v>28</v>
      </c>
      <c r="J17" s="10">
        <f>Load!AZ32</f>
        <v>0</v>
      </c>
      <c r="K17" s="10"/>
      <c r="L17" s="10"/>
      <c r="M17" s="10"/>
      <c r="N17" s="10"/>
      <c r="O17" s="10"/>
      <c r="P17" s="9" t="s">
        <v>35</v>
      </c>
      <c r="Q17" s="10"/>
      <c r="R17" s="10"/>
      <c r="S17" s="10"/>
      <c r="T17" s="10">
        <v>0</v>
      </c>
      <c r="U17" s="31" t="s">
        <v>36</v>
      </c>
    </row>
    <row r="18" spans="2:22">
      <c r="C18" s="9" t="s">
        <v>8</v>
      </c>
      <c r="D18" s="10"/>
      <c r="E18" s="10"/>
      <c r="F18" s="10"/>
      <c r="G18" s="10"/>
      <c r="H18" s="10"/>
      <c r="I18" s="6" t="s">
        <v>28</v>
      </c>
      <c r="J18" s="10">
        <f>Load!$AZ$34</f>
        <v>0</v>
      </c>
      <c r="K18" s="10"/>
      <c r="L18" s="10"/>
      <c r="M18" s="10"/>
      <c r="N18" s="10"/>
      <c r="O18" s="10"/>
    </row>
    <row r="19" spans="2:22">
      <c r="C19" s="9" t="s">
        <v>37</v>
      </c>
      <c r="D19" s="10"/>
      <c r="E19" s="10"/>
      <c r="F19" s="10"/>
      <c r="G19" s="10"/>
      <c r="H19" s="10"/>
      <c r="I19" s="6" t="s">
        <v>28</v>
      </c>
      <c r="J19" s="10" t="s">
        <v>25</v>
      </c>
      <c r="K19" s="10"/>
      <c r="L19" s="10"/>
      <c r="M19" s="10"/>
      <c r="N19" s="10"/>
      <c r="O19" s="10"/>
    </row>
    <row r="20" spans="2:22" ht="22" customHeight="1">
      <c r="B20" s="296" t="s">
        <v>38</v>
      </c>
      <c r="C20" s="296"/>
      <c r="D20" s="296"/>
      <c r="E20" s="296"/>
      <c r="F20" s="296"/>
      <c r="G20" s="296"/>
      <c r="H20" s="296"/>
      <c r="I20" s="296"/>
      <c r="J20" s="296"/>
      <c r="K20" s="296" t="s">
        <v>39</v>
      </c>
      <c r="L20" s="296"/>
      <c r="M20" s="296"/>
      <c r="N20" s="296" t="s">
        <v>40</v>
      </c>
      <c r="O20" s="296"/>
      <c r="P20" s="296"/>
      <c r="Q20" s="32" t="s">
        <v>41</v>
      </c>
      <c r="R20" s="296" t="s">
        <v>42</v>
      </c>
      <c r="S20" s="296"/>
      <c r="T20" s="296"/>
      <c r="U20" s="296"/>
    </row>
    <row r="21" spans="2:22" ht="14.5" customHeight="1">
      <c r="B21" s="297" t="str">
        <f>Load!W45</f>
        <v>M SAND</v>
      </c>
      <c r="C21" s="297"/>
      <c r="D21" s="12" t="str">
        <f>Load!AA45</f>
        <v xml:space="preserve">M SAND </v>
      </c>
      <c r="E21" s="293" t="str">
        <f>Load!AE45</f>
        <v>12 MM</v>
      </c>
      <c r="F21" s="293"/>
      <c r="G21" s="293"/>
      <c r="H21" s="14" t="str">
        <f>Load!AG45</f>
        <v>20 MM</v>
      </c>
      <c r="I21" s="293" t="str">
        <f>Load!AJ45</f>
        <v>0</v>
      </c>
      <c r="J21" s="293"/>
      <c r="K21" s="13" t="str">
        <f>Load!AL45</f>
        <v>CEM 1</v>
      </c>
      <c r="L21" s="13" t="str">
        <f>Load!AP45</f>
        <v>CEM 2</v>
      </c>
      <c r="M21" s="13" t="str">
        <f>Load!AR45</f>
        <v>CEM 3</v>
      </c>
      <c r="O21" s="293" t="str">
        <f>Load!BC45</f>
        <v>WATER</v>
      </c>
      <c r="P21" s="293"/>
      <c r="Q21" s="5" t="s">
        <v>43</v>
      </c>
      <c r="R21" s="297" t="str">
        <f>Load!AV45</f>
        <v>ADMIX1</v>
      </c>
      <c r="S21" s="297"/>
      <c r="T21" s="297" t="str">
        <f>Load!AY45</f>
        <v>ADMIX2</v>
      </c>
      <c r="U21" s="297"/>
    </row>
    <row r="22" spans="2:22">
      <c r="B22" s="10" t="s">
        <v>44</v>
      </c>
    </row>
    <row r="23" spans="2:22" s="2" customFormat="1" ht="20.5" customHeight="1">
      <c r="B23" s="294">
        <f>Load!W46</f>
        <v>0</v>
      </c>
      <c r="C23" s="294"/>
      <c r="D23" s="15">
        <f>Load!AA46</f>
        <v>743</v>
      </c>
      <c r="E23" s="295">
        <f>Load!AE46</f>
        <v>435</v>
      </c>
      <c r="F23" s="295"/>
      <c r="G23" s="295"/>
      <c r="H23" s="15">
        <f>Load!AG46</f>
        <v>681</v>
      </c>
      <c r="I23" s="295"/>
      <c r="J23" s="295"/>
      <c r="K23" s="27">
        <f>Load!AL46</f>
        <v>340</v>
      </c>
      <c r="L23" s="27">
        <f>Load!AP46</f>
        <v>0</v>
      </c>
      <c r="M23" s="27">
        <f>Load!AR46</f>
        <v>100</v>
      </c>
      <c r="N23" s="27">
        <v>0</v>
      </c>
      <c r="O23" s="294">
        <f>Load!BC46</f>
        <v>154</v>
      </c>
      <c r="P23" s="294"/>
      <c r="Q23" s="33">
        <v>0</v>
      </c>
      <c r="R23" s="292">
        <f>Load!AV46</f>
        <v>2.6</v>
      </c>
      <c r="S23" s="292"/>
      <c r="T23" s="292">
        <f>Load!AY46</f>
        <v>0</v>
      </c>
      <c r="U23" s="292"/>
    </row>
    <row r="24" spans="2:22" ht="20.149999999999999" customHeight="1">
      <c r="B24" s="5" t="s">
        <v>45</v>
      </c>
    </row>
    <row r="25" spans="2:22">
      <c r="B25" s="280">
        <f>Load!W47</f>
        <v>0</v>
      </c>
      <c r="C25" s="280"/>
      <c r="D25" s="17">
        <f>Load!AA47</f>
        <v>2</v>
      </c>
      <c r="E25" s="280">
        <f>Load!AE47</f>
        <v>1</v>
      </c>
      <c r="F25" s="280"/>
      <c r="G25" s="280"/>
      <c r="H25" s="18">
        <f>Load!AG47</f>
        <v>1</v>
      </c>
      <c r="I25" s="280">
        <v>0</v>
      </c>
      <c r="J25" s="280"/>
      <c r="K25" s="14"/>
      <c r="L25" s="14"/>
      <c r="M25" s="14"/>
      <c r="N25" s="14"/>
      <c r="O25" s="293">
        <v>0</v>
      </c>
      <c r="P25" s="293"/>
      <c r="Q25" s="14"/>
      <c r="R25" s="14"/>
      <c r="S25" s="14"/>
      <c r="T25" s="14"/>
      <c r="U25" s="14"/>
    </row>
    <row r="26" spans="2:22">
      <c r="B26" s="280">
        <f>Load!W48</f>
        <v>0</v>
      </c>
      <c r="C26" s="280"/>
      <c r="D26" s="124">
        <f>Load!AA48</f>
        <v>4.5</v>
      </c>
      <c r="E26" s="280">
        <f>Load!AE48</f>
        <v>0</v>
      </c>
      <c r="F26" s="280"/>
      <c r="G26" s="280"/>
      <c r="H26" s="16">
        <f>Load!AG48</f>
        <v>0</v>
      </c>
      <c r="I26" s="280">
        <v>0</v>
      </c>
      <c r="J26" s="280"/>
      <c r="K26" s="14"/>
      <c r="L26" s="14"/>
      <c r="M26" s="14"/>
      <c r="N26" s="13" t="s">
        <v>46</v>
      </c>
      <c r="O26" s="279">
        <v>0</v>
      </c>
      <c r="P26" s="279"/>
      <c r="Q26" s="14"/>
      <c r="R26" s="14"/>
      <c r="S26" s="14"/>
      <c r="T26" s="14"/>
      <c r="U26" s="14"/>
    </row>
    <row r="27" spans="2:22">
      <c r="B27" s="286">
        <f>(((B26-B25)*(B23*T16))/100)+(((B26-B25)*(((B26-B25)*(B23*T16))/100))/100)+(B23*T16)</f>
        <v>0</v>
      </c>
      <c r="C27" s="286">
        <f t="shared" ref="C27" si="0">(((C26-C25)*C23)/100)+(((C26-C25)*(((C26-C25)*C23)/100))/100)+C23</f>
        <v>0</v>
      </c>
      <c r="D27" s="20">
        <f>(((D26-D25)*(D23*T16))/100)+(((D26-D25)*(((D26-D25)*(D23*T16))/100))/100)+(D23*T16)</f>
        <v>2540.1312500000004</v>
      </c>
      <c r="E27" s="286">
        <f>(((E26-E25)*(E23*T16))/100)+(((E26-E25)*(((E26-E25)*(T16*E23))/100))/100)+(T16*E23)</f>
        <v>1435.645</v>
      </c>
      <c r="F27" s="286">
        <f t="shared" ref="F27:G27" si="1">(((F26-F25)*F23)/100)+(((F26-F25)*(((F26-F25)*F23)/100))/100)+F23</f>
        <v>0</v>
      </c>
      <c r="G27" s="286">
        <f t="shared" si="1"/>
        <v>0</v>
      </c>
      <c r="H27" s="21">
        <f>(((H26-H25)*(T16*H23))/100)+(((H26-H25)*(((H26-H25)*(T16*H23))/100))/100)+(T16*H23)</f>
        <v>2247.527</v>
      </c>
      <c r="I27" s="286">
        <f>(((I26-I25)*(T16*I23))/100)+(((I26-I25)*(((I26-I25)*(T16*I23))/100))/100)+(T16*I23)</f>
        <v>0</v>
      </c>
      <c r="J27" s="286">
        <f t="shared" ref="J27" si="2">(((J26-J25)*J23)/100)+(((J26-J25)*(((J26-J25)*J23)/100))/100)+J23</f>
        <v>0</v>
      </c>
      <c r="K27" s="21">
        <f>K23*T16</f>
        <v>1133.3333333333335</v>
      </c>
      <c r="L27" s="21">
        <f>L23*T16</f>
        <v>0</v>
      </c>
      <c r="M27" s="21">
        <f>M23*T16</f>
        <v>333.33333333333337</v>
      </c>
      <c r="N27" s="25">
        <v>0</v>
      </c>
      <c r="O27" s="291">
        <f>(T16*O23)-(((B27*B26/100)-(B27*B25/100))+((D27*D26/100)-(D27*D25/100))+((E27*E26/100)-(E27*E25/100))+((H27*H26/100)-(H27*H25/100)))</f>
        <v>486.6617720833334</v>
      </c>
      <c r="P27" s="291"/>
      <c r="Q27" s="34">
        <v>0</v>
      </c>
      <c r="R27" s="280">
        <f>R23*T16</f>
        <v>8.6666666666666679</v>
      </c>
      <c r="S27" s="280"/>
      <c r="T27" s="289">
        <f>T23*T16</f>
        <v>0</v>
      </c>
      <c r="U27" s="289"/>
    </row>
    <row r="28" spans="2:22">
      <c r="B28" s="286">
        <f ca="1">$B$27+($B$27*1*(0.5-RAND()))/100</f>
        <v>0</v>
      </c>
      <c r="C28" s="286"/>
      <c r="D28" s="21">
        <f ca="1">$D$27+($D$27*1*(0.5-RAND()))/100</f>
        <v>2540.6614543025753</v>
      </c>
      <c r="E28" s="286">
        <f ca="1">$E$27+($E$27*1*(0.5-RAND()))/100</f>
        <v>1434.135109000355</v>
      </c>
      <c r="F28" s="286"/>
      <c r="G28" s="286"/>
      <c r="H28" s="21">
        <f ca="1">$H$27+($H$27*1*(0.5-RAND()))/100</f>
        <v>2253.0054239047186</v>
      </c>
      <c r="I28" s="286">
        <f ca="1">$I$27+($I$27*1*(0.5-RAND()))/100</f>
        <v>0</v>
      </c>
      <c r="J28" s="286"/>
      <c r="K28" s="21">
        <f ca="1">$K$27+($K$27*2*(0.5-RAND()))/100</f>
        <v>1141.4191714928947</v>
      </c>
      <c r="L28" s="21">
        <f ca="1">$L$27+($L$27*2*(0.5-RAND()))/100</f>
        <v>0</v>
      </c>
      <c r="M28" s="21">
        <f ca="1">$M$27+($M$27*2*(0.5-RAND()))/100</f>
        <v>334.02863391835348</v>
      </c>
      <c r="N28" s="25">
        <f ca="1">N27+(N27*1*(0.5-RAND()))/100</f>
        <v>0</v>
      </c>
      <c r="O28" s="286">
        <f ca="1">$O$27+($O$27*(Load!$BM$46+Load!$BO$46*RAND()))/100</f>
        <v>490.18003611452195</v>
      </c>
      <c r="P28" s="286"/>
      <c r="Q28" s="34">
        <v>0</v>
      </c>
      <c r="R28" s="280">
        <f ca="1">$R$27+($R$27*2*(0.5-RAND()))/100</f>
        <v>8.6076709387481074</v>
      </c>
      <c r="S28" s="280"/>
      <c r="T28" s="290">
        <v>0</v>
      </c>
      <c r="U28" s="290"/>
    </row>
    <row r="29" spans="2:22">
      <c r="B29" s="280">
        <f>$B$25</f>
        <v>0</v>
      </c>
      <c r="C29" s="280"/>
      <c r="D29" s="17">
        <f>$D$25</f>
        <v>2</v>
      </c>
      <c r="E29" s="280">
        <f>$E$25</f>
        <v>1</v>
      </c>
      <c r="F29" s="280"/>
      <c r="G29" s="280"/>
      <c r="H29" s="18">
        <f>$H$25</f>
        <v>1</v>
      </c>
      <c r="I29" s="280">
        <v>0</v>
      </c>
      <c r="J29" s="280"/>
      <c r="K29" s="14"/>
      <c r="L29" s="14"/>
      <c r="M29" s="14"/>
      <c r="N29" s="14"/>
      <c r="O29" s="293">
        <v>0</v>
      </c>
      <c r="P29" s="293"/>
      <c r="Q29" s="14"/>
      <c r="R29" s="14"/>
      <c r="S29" s="14"/>
      <c r="T29" s="14"/>
      <c r="U29" s="14"/>
    </row>
    <row r="30" spans="2:22">
      <c r="B30" s="280">
        <f>$B$26</f>
        <v>0</v>
      </c>
      <c r="C30" s="280"/>
      <c r="D30" s="124">
        <f>$D$26</f>
        <v>4.5</v>
      </c>
      <c r="E30" s="280">
        <f>$E$26</f>
        <v>0</v>
      </c>
      <c r="F30" s="280"/>
      <c r="G30" s="280"/>
      <c r="H30" s="16">
        <f>$H$26</f>
        <v>0</v>
      </c>
      <c r="I30" s="280">
        <v>0</v>
      </c>
      <c r="J30" s="280"/>
      <c r="K30" s="14"/>
      <c r="L30" s="14"/>
      <c r="M30" s="14"/>
      <c r="N30" s="13" t="s">
        <v>46</v>
      </c>
      <c r="O30" s="279">
        <v>0</v>
      </c>
      <c r="P30" s="279"/>
      <c r="Q30" s="14"/>
      <c r="R30" s="14"/>
      <c r="S30" s="14"/>
      <c r="T30" s="14"/>
      <c r="U30" s="14"/>
    </row>
    <row r="31" spans="2:22" s="3" customFormat="1">
      <c r="B31" s="286">
        <f>ROUND($B$27,0)</f>
        <v>0</v>
      </c>
      <c r="C31" s="286"/>
      <c r="D31" s="21">
        <f>ROUND(($D$27),0)</f>
        <v>2540</v>
      </c>
      <c r="E31" s="286">
        <f>ROUND($E$27,0)</f>
        <v>1436</v>
      </c>
      <c r="F31" s="286">
        <f t="shared" ref="F31:U31" si="3">F$27</f>
        <v>0</v>
      </c>
      <c r="G31" s="286">
        <f t="shared" si="3"/>
        <v>0</v>
      </c>
      <c r="H31" s="21">
        <f>ROUND($H$27,0)</f>
        <v>2248</v>
      </c>
      <c r="I31" s="286">
        <f>$I$27</f>
        <v>0</v>
      </c>
      <c r="J31" s="286">
        <f t="shared" si="3"/>
        <v>0</v>
      </c>
      <c r="K31" s="21">
        <f>$K$27</f>
        <v>1133.3333333333335</v>
      </c>
      <c r="L31" s="21">
        <f>$L$27</f>
        <v>0</v>
      </c>
      <c r="M31" s="21">
        <f>$M$27</f>
        <v>333.33333333333337</v>
      </c>
      <c r="N31" s="25">
        <f>$N$27</f>
        <v>0</v>
      </c>
      <c r="O31" s="286">
        <f>$O$27</f>
        <v>486.6617720833334</v>
      </c>
      <c r="P31" s="286">
        <f t="shared" si="3"/>
        <v>0</v>
      </c>
      <c r="Q31" s="34">
        <f>$Q$27</f>
        <v>0</v>
      </c>
      <c r="R31" s="280">
        <f>$R$27</f>
        <v>8.6666666666666679</v>
      </c>
      <c r="S31" s="280">
        <f t="shared" si="3"/>
        <v>0</v>
      </c>
      <c r="T31" s="289">
        <f>$T$27</f>
        <v>0</v>
      </c>
      <c r="U31" s="289">
        <f t="shared" si="3"/>
        <v>0</v>
      </c>
      <c r="V31" s="5"/>
    </row>
    <row r="32" spans="2:22" s="3" customFormat="1">
      <c r="B32" s="286">
        <f ca="1">$B$27+($B$27*1*(0.5-RAND()))/100</f>
        <v>0</v>
      </c>
      <c r="C32" s="286"/>
      <c r="D32" s="21">
        <f ca="1">$D$27+($D$27*1*(0.5-RAND()))/100</f>
        <v>2539.7112346552553</v>
      </c>
      <c r="E32" s="286">
        <f ca="1">$E$27+($E$27*1*(0.5-RAND()))/100</f>
        <v>1434.2889400782756</v>
      </c>
      <c r="F32" s="286"/>
      <c r="G32" s="286"/>
      <c r="H32" s="21">
        <f ca="1">$H$27+($H$27*1*(0.5-RAND()))/100</f>
        <v>2247.2089703360407</v>
      </c>
      <c r="I32" s="286">
        <f ca="1">$I$27+($I$27*1*(0.5-RAND()))/100</f>
        <v>0</v>
      </c>
      <c r="J32" s="286"/>
      <c r="K32" s="21">
        <f ca="1">$K$27+($K$27*2*(0.5-RAND()))/100</f>
        <v>1130.2478844588832</v>
      </c>
      <c r="L32" s="21">
        <f ca="1">$L$27+($L$27*2*(0.5-RAND()))/100</f>
        <v>0</v>
      </c>
      <c r="M32" s="21">
        <f ca="1">$M$27+($M$27*2*(0.5-RAND()))/100</f>
        <v>332.11575090659505</v>
      </c>
      <c r="N32" s="25">
        <v>0</v>
      </c>
      <c r="O32" s="286">
        <f ca="1">$O$27+($O$27*(Load!$BM$46+Load!$BO$46*RAND()))/100</f>
        <v>487.06252503895496</v>
      </c>
      <c r="P32" s="286"/>
      <c r="Q32" s="16">
        <v>0</v>
      </c>
      <c r="R32" s="280">
        <f ca="1">$R$27+($R$27*2*(0.5-RAND()))/100</f>
        <v>8.5800655107551957</v>
      </c>
      <c r="S32" s="280"/>
      <c r="T32" s="290">
        <v>0</v>
      </c>
      <c r="U32" s="290"/>
      <c r="V32" s="5"/>
    </row>
    <row r="33" spans="2:22" s="3" customFormat="1">
      <c r="B33" s="280">
        <f>$B$25</f>
        <v>0</v>
      </c>
      <c r="C33" s="280"/>
      <c r="D33" s="17">
        <f>$D$25</f>
        <v>2</v>
      </c>
      <c r="E33" s="280">
        <f>$E$25</f>
        <v>1</v>
      </c>
      <c r="F33" s="280"/>
      <c r="G33" s="280"/>
      <c r="H33" s="18">
        <f>$H$25</f>
        <v>1</v>
      </c>
      <c r="I33" s="280">
        <v>0</v>
      </c>
      <c r="J33" s="280"/>
      <c r="K33" s="14"/>
      <c r="L33" s="14"/>
      <c r="M33" s="14"/>
      <c r="N33" s="14"/>
      <c r="O33" s="293">
        <v>0</v>
      </c>
      <c r="P33" s="293"/>
      <c r="Q33" s="14"/>
      <c r="R33" s="14"/>
      <c r="S33" s="14"/>
      <c r="T33" s="14"/>
      <c r="U33" s="14"/>
      <c r="V33" s="5"/>
    </row>
    <row r="34" spans="2:22" s="3" customFormat="1">
      <c r="B34" s="280">
        <f>$B$26</f>
        <v>0</v>
      </c>
      <c r="C34" s="280"/>
      <c r="D34" s="124">
        <f>$D$26</f>
        <v>4.5</v>
      </c>
      <c r="E34" s="280">
        <f>$E$26</f>
        <v>0</v>
      </c>
      <c r="F34" s="280"/>
      <c r="G34" s="280"/>
      <c r="H34" s="16">
        <f>$H$26</f>
        <v>0</v>
      </c>
      <c r="I34" s="280">
        <v>0</v>
      </c>
      <c r="J34" s="280"/>
      <c r="K34" s="14"/>
      <c r="L34" s="14"/>
      <c r="M34" s="14"/>
      <c r="N34" s="13" t="s">
        <v>46</v>
      </c>
      <c r="O34" s="279">
        <v>0</v>
      </c>
      <c r="P34" s="279"/>
      <c r="Q34" s="14"/>
      <c r="R34" s="14"/>
      <c r="S34" s="14"/>
      <c r="T34" s="14"/>
      <c r="U34" s="14"/>
      <c r="V34" s="5"/>
    </row>
    <row r="35" spans="2:22" s="3" customFormat="1">
      <c r="B35" s="286">
        <f>ROUND($B$27,0)</f>
        <v>0</v>
      </c>
      <c r="C35" s="286"/>
      <c r="D35" s="21">
        <f>ROUND(($D$27),0)</f>
        <v>2540</v>
      </c>
      <c r="E35" s="286">
        <f>ROUND($E$27,0)</f>
        <v>1436</v>
      </c>
      <c r="F35" s="286">
        <f t="shared" ref="F35:G35" si="4">F$27</f>
        <v>0</v>
      </c>
      <c r="G35" s="286">
        <f t="shared" si="4"/>
        <v>0</v>
      </c>
      <c r="H35" s="21">
        <f>ROUND($H$27,0)</f>
        <v>2248</v>
      </c>
      <c r="I35" s="286">
        <f>$I$27</f>
        <v>0</v>
      </c>
      <c r="J35" s="286">
        <f t="shared" ref="J35" si="5">J$27</f>
        <v>0</v>
      </c>
      <c r="K35" s="21">
        <f>$K$27</f>
        <v>1133.3333333333335</v>
      </c>
      <c r="L35" s="21">
        <f>$L$27</f>
        <v>0</v>
      </c>
      <c r="M35" s="21">
        <f>$M$27</f>
        <v>333.33333333333337</v>
      </c>
      <c r="N35" s="25">
        <f>$N$27</f>
        <v>0</v>
      </c>
      <c r="O35" s="286">
        <f>$O$27</f>
        <v>486.6617720833334</v>
      </c>
      <c r="P35" s="286">
        <f t="shared" ref="P35" si="6">P$27</f>
        <v>0</v>
      </c>
      <c r="Q35" s="16">
        <f>$Q$27</f>
        <v>0</v>
      </c>
      <c r="R35" s="280">
        <f>$R$27</f>
        <v>8.6666666666666679</v>
      </c>
      <c r="S35" s="280">
        <f t="shared" ref="S35" si="7">S$27</f>
        <v>0</v>
      </c>
      <c r="T35" s="289">
        <f>$T$27</f>
        <v>0</v>
      </c>
      <c r="U35" s="289">
        <f t="shared" ref="U35" si="8">U$27</f>
        <v>0</v>
      </c>
      <c r="V35" s="5"/>
    </row>
    <row r="36" spans="2:22" s="3" customFormat="1">
      <c r="B36" s="286">
        <f ca="1">$B$27+($B$27*1*(0.5-RAND()))/100</f>
        <v>0</v>
      </c>
      <c r="C36" s="286"/>
      <c r="D36" s="21">
        <f ca="1">$D$27+($D$27*1*(0.5-RAND()))/100</f>
        <v>2538.5785207888889</v>
      </c>
      <c r="E36" s="286">
        <f ca="1">$E$27+($E$27*1*(0.5-RAND()))/100</f>
        <v>1432.506305308762</v>
      </c>
      <c r="F36" s="286"/>
      <c r="G36" s="286"/>
      <c r="H36" s="21">
        <f ca="1">$H$27+($H$27*1*(0.5-RAND()))/100</f>
        <v>2258.0040571780582</v>
      </c>
      <c r="I36" s="286">
        <f ca="1">$I$27+($I$27*1*(0.5-RAND()))/100</f>
        <v>0</v>
      </c>
      <c r="J36" s="286"/>
      <c r="K36" s="21">
        <f ca="1">$K$27+($K$27*2*(0.5-RAND()))/100</f>
        <v>1138.1908254695363</v>
      </c>
      <c r="L36" s="21">
        <f ca="1">$L$27+($L$27*2*(0.5-RAND()))/100</f>
        <v>0</v>
      </c>
      <c r="M36" s="21">
        <f ca="1">$M$27+($M$27*2*(0.5-RAND()))/100</f>
        <v>335.56875023954086</v>
      </c>
      <c r="N36" s="25">
        <v>0</v>
      </c>
      <c r="O36" s="286">
        <f ca="1">$O$27+($O$27*(Load!$BM$46+Load!$BO$46*RAND()))/100</f>
        <v>477.4827951383499</v>
      </c>
      <c r="P36" s="286"/>
      <c r="Q36" s="16">
        <v>0</v>
      </c>
      <c r="R36" s="280">
        <f ca="1">$R$27+($R$27*2*(0.5-RAND()))/100</f>
        <v>8.6909542461109339</v>
      </c>
      <c r="S36" s="280"/>
      <c r="T36" s="290">
        <v>0</v>
      </c>
      <c r="U36" s="290"/>
      <c r="V36" s="5"/>
    </row>
    <row r="37" spans="2:22" s="4" customFormat="1" ht="18" customHeight="1">
      <c r="B37" s="22" t="s">
        <v>47</v>
      </c>
      <c r="C37" s="22"/>
      <c r="D37" s="23"/>
      <c r="E37" s="24"/>
      <c r="F37" s="24"/>
      <c r="G37" s="24"/>
      <c r="H37" s="23"/>
      <c r="I37" s="24"/>
      <c r="J37" s="24"/>
      <c r="K37" s="23"/>
      <c r="L37" s="23"/>
      <c r="M37" s="23"/>
      <c r="N37" s="28" t="s">
        <v>48</v>
      </c>
      <c r="O37" s="288">
        <v>0</v>
      </c>
      <c r="P37" s="288"/>
      <c r="Q37" s="23"/>
      <c r="R37" s="23"/>
      <c r="S37" s="23"/>
      <c r="T37" s="23"/>
      <c r="U37" s="23"/>
    </row>
    <row r="38" spans="2:22" s="3" customFormat="1" ht="17.5" customHeight="1">
      <c r="B38" s="285">
        <f>B35+B31+B27</f>
        <v>0</v>
      </c>
      <c r="C38" s="285"/>
      <c r="D38" s="21">
        <f>ROUND((D35+D31+D27),0)</f>
        <v>7620</v>
      </c>
      <c r="E38" s="286">
        <f>E35+E31+E27</f>
        <v>4307.6450000000004</v>
      </c>
      <c r="F38" s="286"/>
      <c r="G38" s="286"/>
      <c r="H38" s="21">
        <f>H35+H31+H27</f>
        <v>6743.527</v>
      </c>
      <c r="I38" s="286">
        <f>I35+I31+I27</f>
        <v>0</v>
      </c>
      <c r="J38" s="286"/>
      <c r="K38" s="21">
        <f>K35+K31+K27</f>
        <v>3400.0000000000005</v>
      </c>
      <c r="L38" s="21">
        <f>L35+L31+L27</f>
        <v>0</v>
      </c>
      <c r="M38" s="21">
        <f>M35+M31+M27</f>
        <v>1000.0000000000001</v>
      </c>
      <c r="N38" s="21">
        <v>0</v>
      </c>
      <c r="O38" s="287">
        <f>O35+O31+O27</f>
        <v>1459.9853162500003</v>
      </c>
      <c r="P38" s="287"/>
      <c r="Q38" s="35">
        <f>Q35+Q31+Q27</f>
        <v>0</v>
      </c>
      <c r="R38" s="284">
        <f>R35+R31+R27</f>
        <v>26.000000000000004</v>
      </c>
      <c r="S38" s="284"/>
      <c r="T38" s="284">
        <f>T35+T31+T27</f>
        <v>0</v>
      </c>
      <c r="U38" s="284"/>
    </row>
    <row r="39" spans="2:22" s="3" customFormat="1" ht="22" customHeight="1">
      <c r="B39" s="2" t="s">
        <v>49</v>
      </c>
      <c r="C39" s="5"/>
      <c r="D39" s="14"/>
      <c r="E39" s="17"/>
      <c r="F39" s="17"/>
      <c r="G39" s="17"/>
      <c r="H39" s="14"/>
      <c r="I39" s="17"/>
      <c r="J39" s="17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</row>
    <row r="40" spans="2:22" s="3" customFormat="1" ht="17.5" customHeight="1">
      <c r="B40" s="285">
        <f ca="1">B36+B32+B28</f>
        <v>0</v>
      </c>
      <c r="C40" s="285"/>
      <c r="D40" s="21">
        <f ca="1">D36+D32+D28</f>
        <v>7618.9512097467195</v>
      </c>
      <c r="E40" s="286">
        <f ca="1">E36+E32+E28</f>
        <v>4300.9303543873921</v>
      </c>
      <c r="F40" s="286"/>
      <c r="G40" s="286"/>
      <c r="H40" s="21">
        <f ca="1">H36+H32+H28</f>
        <v>6758.2184514188175</v>
      </c>
      <c r="I40" s="286">
        <f ca="1">I36+I32+I28</f>
        <v>0</v>
      </c>
      <c r="J40" s="286"/>
      <c r="K40" s="21">
        <f ca="1">K36+K32+K28</f>
        <v>3409.8578814213142</v>
      </c>
      <c r="L40" s="21">
        <f ca="1">L36+L32+L28</f>
        <v>0</v>
      </c>
      <c r="M40" s="21">
        <f ca="1">M36+M32+M28</f>
        <v>1001.7131350644895</v>
      </c>
      <c r="N40" s="21">
        <f ca="1">N36+N32+N28</f>
        <v>0</v>
      </c>
      <c r="O40" s="287">
        <f ca="1">O36+O32+O28</f>
        <v>1454.7253562918268</v>
      </c>
      <c r="P40" s="287"/>
      <c r="Q40" s="35">
        <f>Q36+Q32+Q28</f>
        <v>0</v>
      </c>
      <c r="R40" s="284">
        <f ca="1">R36+R32+R28</f>
        <v>25.878690695614239</v>
      </c>
      <c r="S40" s="284"/>
      <c r="T40" s="284">
        <f t="shared" ref="T40:U40" si="9">T36+T32+T28</f>
        <v>0</v>
      </c>
      <c r="U40" s="284">
        <f t="shared" si="9"/>
        <v>0</v>
      </c>
    </row>
    <row r="41" spans="2:22" s="3" customFormat="1" ht="2.5" customHeight="1">
      <c r="B41" s="283"/>
      <c r="C41" s="283"/>
      <c r="D41" s="283"/>
      <c r="E41" s="283"/>
      <c r="F41" s="283"/>
      <c r="G41" s="283"/>
      <c r="H41" s="283"/>
      <c r="I41" s="283"/>
      <c r="J41" s="283"/>
      <c r="K41" s="283"/>
      <c r="L41" s="283"/>
      <c r="M41" s="283"/>
      <c r="N41" s="283"/>
      <c r="O41" s="283"/>
      <c r="P41" s="283"/>
      <c r="Q41" s="283"/>
      <c r="R41" s="283"/>
      <c r="S41" s="283"/>
      <c r="T41" s="283"/>
      <c r="U41" s="283"/>
    </row>
    <row r="42" spans="2:22" s="3" customFormat="1" ht="9.65" customHeight="1">
      <c r="B42" s="5"/>
      <c r="C42" s="5"/>
      <c r="D42" s="26"/>
      <c r="E42" s="17"/>
      <c r="F42" s="17"/>
      <c r="G42" s="17"/>
      <c r="H42" s="26"/>
      <c r="I42" s="17"/>
      <c r="J42" s="17"/>
      <c r="K42" s="26"/>
      <c r="L42" s="26"/>
      <c r="M42" s="26"/>
      <c r="N42" s="26"/>
      <c r="O42" s="26"/>
      <c r="P42" s="26"/>
      <c r="Q42" s="36"/>
      <c r="S42" s="26"/>
      <c r="T42" s="26"/>
      <c r="U42" s="26"/>
    </row>
    <row r="43" spans="2:22" s="3" customFormat="1">
      <c r="B43" s="5"/>
      <c r="C43" s="5"/>
      <c r="D43" s="26"/>
      <c r="E43" s="17"/>
      <c r="F43" s="17"/>
      <c r="G43" s="17"/>
      <c r="H43" s="26"/>
      <c r="I43" s="17"/>
      <c r="J43" s="17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</row>
    <row r="44" spans="2:22" s="3" customFormat="1">
      <c r="B44" s="5"/>
      <c r="C44" s="5"/>
      <c r="D44" s="26"/>
      <c r="E44" s="17"/>
      <c r="F44" s="17"/>
      <c r="G44" s="17"/>
      <c r="H44" s="26"/>
      <c r="I44" s="17"/>
      <c r="J44" s="17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</row>
    <row r="45" spans="2:22" s="3" customFormat="1">
      <c r="B45" s="5"/>
      <c r="C45" s="5"/>
      <c r="D45" s="26"/>
      <c r="E45" s="17"/>
      <c r="F45" s="17"/>
      <c r="G45" s="17"/>
      <c r="H45" s="26"/>
      <c r="I45" s="17"/>
      <c r="J45" s="17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</row>
    <row r="46" spans="2:22" s="3" customFormat="1">
      <c r="B46" s="5"/>
      <c r="C46" s="5"/>
      <c r="D46" s="26"/>
      <c r="E46" s="17"/>
      <c r="F46" s="17"/>
      <c r="G46" s="17"/>
      <c r="H46" s="26"/>
      <c r="I46" s="17"/>
      <c r="J46" s="17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</row>
    <row r="47" spans="2:22" s="3" customFormat="1">
      <c r="B47" s="279"/>
      <c r="C47" s="279"/>
      <c r="D47" s="26"/>
      <c r="E47" s="280"/>
      <c r="F47" s="280"/>
      <c r="G47" s="280"/>
      <c r="H47" s="26"/>
      <c r="I47" s="280"/>
      <c r="J47" s="280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</row>
    <row r="48" spans="2:22" s="3" customFormat="1">
      <c r="B48" s="279"/>
      <c r="C48" s="279"/>
      <c r="D48" s="26"/>
      <c r="E48" s="280"/>
      <c r="F48" s="280"/>
      <c r="G48" s="280"/>
      <c r="H48" s="26"/>
      <c r="I48" s="280"/>
      <c r="J48" s="280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</row>
    <row r="49" spans="2:21" s="3" customFormat="1">
      <c r="B49" s="279"/>
      <c r="C49" s="279"/>
      <c r="D49" s="26"/>
      <c r="E49" s="26"/>
      <c r="F49" s="26"/>
      <c r="G49" s="26"/>
      <c r="H49" s="26"/>
      <c r="I49" s="280"/>
      <c r="J49" s="280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</row>
    <row r="50" spans="2:21" s="3" customFormat="1">
      <c r="B50" s="279"/>
      <c r="C50" s="279"/>
      <c r="D50" s="26"/>
      <c r="E50" s="26"/>
      <c r="F50" s="26"/>
      <c r="G50" s="26"/>
      <c r="H50" s="26"/>
      <c r="I50" s="280"/>
      <c r="J50" s="280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</row>
    <row r="51" spans="2:21" s="3" customFormat="1">
      <c r="B51" s="279"/>
      <c r="C51" s="279"/>
      <c r="D51" s="26"/>
      <c r="E51" s="26"/>
      <c r="F51" s="26"/>
      <c r="G51" s="26"/>
      <c r="H51" s="26"/>
      <c r="I51" s="280"/>
      <c r="J51" s="280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</row>
    <row r="52" spans="2:21" s="3" customFormat="1">
      <c r="B52" s="279"/>
      <c r="C52" s="279"/>
      <c r="D52" s="26"/>
      <c r="E52" s="26"/>
      <c r="F52" s="26"/>
      <c r="G52" s="26"/>
      <c r="H52" s="26"/>
      <c r="I52" s="280"/>
      <c r="J52" s="280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</row>
    <row r="53" spans="2:21" s="3" customFormat="1">
      <c r="B53" s="26"/>
      <c r="C53" s="26"/>
      <c r="D53" s="26"/>
      <c r="E53" s="26"/>
      <c r="F53" s="26"/>
      <c r="G53" s="26"/>
      <c r="H53" s="26"/>
      <c r="I53" s="281"/>
      <c r="J53" s="281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</row>
    <row r="54" spans="2:21"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</row>
    <row r="55" spans="2:21"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</row>
    <row r="56" spans="2:21"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</row>
    <row r="57" spans="2:21"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</row>
    <row r="58" spans="2:21"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</row>
    <row r="59" spans="2:21"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</row>
    <row r="60" spans="2:21"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</row>
    <row r="61" spans="2:21"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</row>
    <row r="62" spans="2:21"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</row>
    <row r="63" spans="2:21"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</row>
    <row r="64" spans="2:21"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</row>
  </sheetData>
  <sheetProtection selectLockedCells="1"/>
  <mergeCells count="114">
    <mergeCell ref="B2:U2"/>
    <mergeCell ref="B7:U7"/>
    <mergeCell ref="G8:J8"/>
    <mergeCell ref="P8:R8"/>
    <mergeCell ref="S8:T8"/>
    <mergeCell ref="G9:J9"/>
    <mergeCell ref="G10:J10"/>
    <mergeCell ref="B20:J20"/>
    <mergeCell ref="K20:M20"/>
    <mergeCell ref="N20:P20"/>
    <mergeCell ref="R20:U20"/>
    <mergeCell ref="J11:K11"/>
    <mergeCell ref="B21:C21"/>
    <mergeCell ref="E21:G21"/>
    <mergeCell ref="I21:J21"/>
    <mergeCell ref="O21:P21"/>
    <mergeCell ref="R21:S21"/>
    <mergeCell ref="T21:U21"/>
    <mergeCell ref="B23:C23"/>
    <mergeCell ref="E23:G23"/>
    <mergeCell ref="I23:J23"/>
    <mergeCell ref="O23:P23"/>
    <mergeCell ref="R23:S23"/>
    <mergeCell ref="T23:U23"/>
    <mergeCell ref="B25:C25"/>
    <mergeCell ref="E25:G25"/>
    <mergeCell ref="I25:J25"/>
    <mergeCell ref="O25:P25"/>
    <mergeCell ref="B26:C26"/>
    <mergeCell ref="E26:G26"/>
    <mergeCell ref="I26:J26"/>
    <mergeCell ref="O26:P26"/>
    <mergeCell ref="B27:C27"/>
    <mergeCell ref="E27:G27"/>
    <mergeCell ref="I27:J27"/>
    <mergeCell ref="O27:P27"/>
    <mergeCell ref="O30:P30"/>
    <mergeCell ref="B31:C31"/>
    <mergeCell ref="E31:G31"/>
    <mergeCell ref="I31:J31"/>
    <mergeCell ref="O31:P31"/>
    <mergeCell ref="R31:S31"/>
    <mergeCell ref="R27:S27"/>
    <mergeCell ref="T27:U27"/>
    <mergeCell ref="B28:C28"/>
    <mergeCell ref="E28:G28"/>
    <mergeCell ref="I28:J28"/>
    <mergeCell ref="O28:P28"/>
    <mergeCell ref="R28:S28"/>
    <mergeCell ref="T28:U28"/>
    <mergeCell ref="B29:C29"/>
    <mergeCell ref="E29:G29"/>
    <mergeCell ref="I29:J29"/>
    <mergeCell ref="O29:P29"/>
    <mergeCell ref="R35:S35"/>
    <mergeCell ref="T31:U31"/>
    <mergeCell ref="B32:C32"/>
    <mergeCell ref="E32:G32"/>
    <mergeCell ref="I32:J32"/>
    <mergeCell ref="O32:P32"/>
    <mergeCell ref="R32:S32"/>
    <mergeCell ref="T32:U32"/>
    <mergeCell ref="B33:C33"/>
    <mergeCell ref="E33:G33"/>
    <mergeCell ref="I33:J33"/>
    <mergeCell ref="O33:P33"/>
    <mergeCell ref="R40:S40"/>
    <mergeCell ref="T40:U40"/>
    <mergeCell ref="B41:U41"/>
    <mergeCell ref="B47:C47"/>
    <mergeCell ref="E47:G47"/>
    <mergeCell ref="I47:J47"/>
    <mergeCell ref="T35:U35"/>
    <mergeCell ref="B36:C36"/>
    <mergeCell ref="E36:G36"/>
    <mergeCell ref="I36:J36"/>
    <mergeCell ref="O36:P36"/>
    <mergeCell ref="R36:S36"/>
    <mergeCell ref="T36:U36"/>
    <mergeCell ref="O37:P37"/>
    <mergeCell ref="B38:C38"/>
    <mergeCell ref="E38:G38"/>
    <mergeCell ref="I38:J38"/>
    <mergeCell ref="O38:P38"/>
    <mergeCell ref="R38:S38"/>
    <mergeCell ref="T38:U38"/>
    <mergeCell ref="B35:C35"/>
    <mergeCell ref="E35:G35"/>
    <mergeCell ref="I35:J35"/>
    <mergeCell ref="O35:P35"/>
    <mergeCell ref="B52:C52"/>
    <mergeCell ref="I52:J52"/>
    <mergeCell ref="I53:J53"/>
    <mergeCell ref="E3:Q4"/>
    <mergeCell ref="B48:C48"/>
    <mergeCell ref="E48:G48"/>
    <mergeCell ref="I48:J48"/>
    <mergeCell ref="B49:C49"/>
    <mergeCell ref="I49:J49"/>
    <mergeCell ref="B50:C50"/>
    <mergeCell ref="I50:J50"/>
    <mergeCell ref="B51:C51"/>
    <mergeCell ref="I51:J51"/>
    <mergeCell ref="B40:C40"/>
    <mergeCell ref="E40:G40"/>
    <mergeCell ref="I40:J40"/>
    <mergeCell ref="O40:P40"/>
    <mergeCell ref="B34:C34"/>
    <mergeCell ref="E34:G34"/>
    <mergeCell ref="I34:J34"/>
    <mergeCell ref="O34:P34"/>
    <mergeCell ref="B30:C30"/>
    <mergeCell ref="E30:G30"/>
    <mergeCell ref="I30:J30"/>
  </mergeCells>
  <printOptions horizontalCentered="1"/>
  <pageMargins left="3.9370078740157501E-2" right="3.9370078740157501E-2" top="0.55118110236220497" bottom="0.43307086614173201" header="0.196850393700787" footer="0.31496062992126"/>
  <pageSetup scale="94" orientation="portrait" horizontalDpi="360" verticalDpi="36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1:V68"/>
  <sheetViews>
    <sheetView showGridLines="0" topLeftCell="E1" workbookViewId="0">
      <selection activeCell="W1" sqref="W1:AB1048576"/>
    </sheetView>
  </sheetViews>
  <sheetFormatPr defaultColWidth="8.7265625" defaultRowHeight="14"/>
  <cols>
    <col min="1" max="1" width="8.7265625" style="5"/>
    <col min="2" max="2" width="2.453125" style="5" customWidth="1"/>
    <col min="3" max="3" width="4.7265625" style="5" customWidth="1"/>
    <col min="4" max="4" width="6.453125" style="5" customWidth="1"/>
    <col min="5" max="7" width="2.54296875" style="5" customWidth="1"/>
    <col min="8" max="8" width="7.453125" style="5" customWidth="1"/>
    <col min="9" max="9" width="2.7265625" style="5" customWidth="1"/>
    <col min="10" max="10" width="4.1796875" style="5" customWidth="1"/>
    <col min="11" max="13" width="8.1796875" style="5" customWidth="1"/>
    <col min="14" max="14" width="9.54296875" style="5" customWidth="1"/>
    <col min="15" max="16" width="4.54296875" style="5" customWidth="1"/>
    <col min="17" max="17" width="10.453125" style="5" customWidth="1"/>
    <col min="18" max="19" width="4.7265625" style="5" customWidth="1"/>
    <col min="20" max="20" width="7.1796875" style="5" customWidth="1"/>
    <col min="21" max="21" width="3.26953125" style="5" customWidth="1"/>
    <col min="22" max="22" width="6.453125" style="5" customWidth="1"/>
    <col min="23" max="16384" width="8.7265625" style="5"/>
  </cols>
  <sheetData>
    <row r="1" spans="2:21" ht="8.15" customHeight="1"/>
    <row r="2" spans="2:21" ht="20">
      <c r="B2" s="300" t="s">
        <v>22</v>
      </c>
      <c r="C2" s="300"/>
      <c r="D2" s="300"/>
      <c r="E2" s="300"/>
      <c r="F2" s="300"/>
      <c r="G2" s="300"/>
      <c r="H2" s="300"/>
      <c r="I2" s="300"/>
      <c r="J2" s="300"/>
      <c r="K2" s="300"/>
      <c r="L2" s="300"/>
      <c r="M2" s="300"/>
      <c r="N2" s="300"/>
      <c r="O2" s="300"/>
      <c r="P2" s="300"/>
      <c r="Q2" s="300"/>
      <c r="R2" s="300"/>
      <c r="S2" s="300"/>
      <c r="T2" s="300"/>
      <c r="U2" s="300"/>
    </row>
    <row r="3" spans="2:21" ht="16" customHeight="1">
      <c r="E3" s="282" t="s">
        <v>23</v>
      </c>
      <c r="F3" s="282"/>
      <c r="G3" s="282"/>
      <c r="H3" s="282"/>
      <c r="I3" s="282"/>
      <c r="J3" s="282"/>
      <c r="K3" s="282"/>
      <c r="L3" s="282"/>
      <c r="M3" s="282"/>
      <c r="N3" s="282"/>
      <c r="O3" s="282"/>
      <c r="P3" s="282"/>
      <c r="Q3" s="282"/>
    </row>
    <row r="4" spans="2:21" ht="16" customHeight="1">
      <c r="E4" s="282"/>
      <c r="F4" s="282"/>
      <c r="G4" s="282"/>
      <c r="H4" s="282"/>
      <c r="I4" s="282"/>
      <c r="J4" s="282"/>
      <c r="K4" s="282"/>
      <c r="L4" s="282"/>
      <c r="M4" s="282"/>
      <c r="N4" s="282"/>
      <c r="O4" s="282"/>
      <c r="P4" s="282"/>
      <c r="Q4" s="282"/>
    </row>
    <row r="5" spans="2:21" ht="16.5" customHeight="1">
      <c r="D5" s="5" t="s">
        <v>24</v>
      </c>
    </row>
    <row r="6" spans="2:21">
      <c r="D6" s="5" t="s">
        <v>25</v>
      </c>
    </row>
    <row r="7" spans="2:21" ht="21.65" customHeight="1">
      <c r="B7" s="296" t="s">
        <v>26</v>
      </c>
      <c r="C7" s="296"/>
      <c r="D7" s="296"/>
      <c r="E7" s="296"/>
      <c r="F7" s="296"/>
      <c r="G7" s="296"/>
      <c r="H7" s="296"/>
      <c r="I7" s="296"/>
      <c r="J7" s="296"/>
      <c r="K7" s="296"/>
      <c r="L7" s="296"/>
      <c r="M7" s="296"/>
      <c r="N7" s="296"/>
      <c r="O7" s="296"/>
      <c r="P7" s="296"/>
      <c r="Q7" s="296"/>
      <c r="R7" s="296"/>
      <c r="S7" s="296"/>
      <c r="T7" s="296"/>
      <c r="U7" s="296"/>
    </row>
    <row r="8" spans="2:21" s="2" customFormat="1" ht="18.649999999999999" customHeight="1">
      <c r="B8" s="6" t="s">
        <v>27</v>
      </c>
      <c r="C8" s="6"/>
      <c r="D8" s="7"/>
      <c r="E8" s="7"/>
      <c r="F8" s="8" t="s">
        <v>28</v>
      </c>
      <c r="G8" s="301">
        <f>Load!J17</f>
        <v>46218</v>
      </c>
      <c r="H8" s="301"/>
      <c r="I8" s="301"/>
      <c r="J8" s="301"/>
      <c r="K8" s="7"/>
      <c r="L8" s="7"/>
      <c r="M8" s="7"/>
      <c r="N8" s="7"/>
      <c r="O8" s="7"/>
      <c r="P8" s="302" t="s">
        <v>29</v>
      </c>
      <c r="Q8" s="302"/>
      <c r="R8" s="302"/>
      <c r="S8" s="303">
        <v>160</v>
      </c>
      <c r="T8" s="303"/>
      <c r="U8" s="7"/>
    </row>
    <row r="9" spans="2:21">
      <c r="B9" s="9" t="s">
        <v>3</v>
      </c>
      <c r="C9" s="9"/>
      <c r="D9" s="10"/>
      <c r="E9" s="10"/>
      <c r="F9" s="11" t="s">
        <v>28</v>
      </c>
      <c r="G9" s="298">
        <f>Load!$K$19</f>
        <v>0.50232638888888892</v>
      </c>
      <c r="H9" s="298"/>
      <c r="I9" s="298"/>
      <c r="J9" s="298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</row>
    <row r="10" spans="2:21">
      <c r="B10" s="9" t="s">
        <v>31</v>
      </c>
      <c r="C10" s="9"/>
      <c r="D10" s="10"/>
      <c r="E10" s="10"/>
      <c r="F10" s="11" t="s">
        <v>28</v>
      </c>
      <c r="G10" s="298">
        <f>Load!K21</f>
        <v>0.51138888888888889</v>
      </c>
      <c r="H10" s="298"/>
      <c r="I10" s="298"/>
      <c r="J10" s="298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</row>
    <row r="11" spans="2:21" s="2" customFormat="1" ht="20.149999999999999" customHeight="1">
      <c r="B11" s="7"/>
      <c r="C11" s="6" t="s">
        <v>0</v>
      </c>
      <c r="D11" s="7"/>
      <c r="E11" s="7"/>
      <c r="F11" s="7"/>
      <c r="G11" s="7"/>
      <c r="H11" s="7"/>
      <c r="I11" s="6" t="s">
        <v>28</v>
      </c>
      <c r="J11" s="299">
        <f>Load!AN26</f>
        <v>8338</v>
      </c>
      <c r="K11" s="299"/>
      <c r="L11" s="7"/>
      <c r="M11" s="7"/>
      <c r="N11" s="7"/>
      <c r="O11" s="7"/>
      <c r="P11" s="6" t="s">
        <v>1</v>
      </c>
      <c r="Q11" s="7"/>
      <c r="R11" s="7"/>
      <c r="S11" s="6" t="s">
        <v>28</v>
      </c>
      <c r="T11" s="29">
        <f>Load!BN26</f>
        <v>45</v>
      </c>
      <c r="U11" s="30" t="s">
        <v>32</v>
      </c>
    </row>
    <row r="12" spans="2:21" ht="16" customHeight="1">
      <c r="B12" s="10"/>
      <c r="C12" s="9" t="s">
        <v>5</v>
      </c>
      <c r="D12" s="10"/>
      <c r="E12" s="10"/>
      <c r="F12" s="10"/>
      <c r="G12" s="10"/>
      <c r="H12" s="10"/>
      <c r="I12" s="6" t="s">
        <v>28</v>
      </c>
      <c r="J12" s="10" t="str">
        <f>Load!M26</f>
        <v>JHEERNNODHARA SAMITHI ANANTHAPURAM</v>
      </c>
      <c r="K12" s="10"/>
      <c r="L12" s="10"/>
      <c r="M12" s="10"/>
      <c r="N12" s="10"/>
      <c r="O12" s="10"/>
      <c r="P12" s="9" t="s">
        <v>2</v>
      </c>
      <c r="Q12" s="10"/>
      <c r="R12" s="10"/>
      <c r="S12" s="6" t="s">
        <v>28</v>
      </c>
      <c r="T12" s="29">
        <f>Load!AO29</f>
        <v>10</v>
      </c>
      <c r="U12" s="30" t="s">
        <v>32</v>
      </c>
    </row>
    <row r="13" spans="2:21" ht="16" customHeight="1">
      <c r="B13" s="10"/>
      <c r="C13" s="9" t="s">
        <v>7</v>
      </c>
      <c r="D13" s="10"/>
      <c r="E13" s="10"/>
      <c r="F13" s="10"/>
      <c r="G13" s="10"/>
      <c r="H13" s="10"/>
      <c r="I13" s="6" t="s">
        <v>28</v>
      </c>
      <c r="J13" s="10" t="str">
        <f>Load!M34</f>
        <v>BOVIKANAM</v>
      </c>
      <c r="P13" s="9" t="s">
        <v>4</v>
      </c>
      <c r="Q13" s="10"/>
      <c r="R13" s="10"/>
      <c r="S13" s="6" t="s">
        <v>28</v>
      </c>
      <c r="T13" s="29">
        <v>0</v>
      </c>
      <c r="U13" s="30" t="s">
        <v>32</v>
      </c>
    </row>
    <row r="14" spans="2:21" ht="16" customHeight="1">
      <c r="B14" s="10"/>
      <c r="C14" s="9" t="s">
        <v>9</v>
      </c>
      <c r="D14" s="10"/>
      <c r="E14" s="10"/>
      <c r="F14" s="10"/>
      <c r="G14" s="10"/>
      <c r="H14" s="10"/>
      <c r="I14" s="6" t="s">
        <v>28</v>
      </c>
      <c r="J14" s="10" t="str">
        <f>Load!M29</f>
        <v>M 40 A</v>
      </c>
      <c r="K14" s="10"/>
      <c r="L14" s="10"/>
      <c r="M14" s="10"/>
      <c r="N14" s="10"/>
      <c r="O14" s="10"/>
      <c r="P14" s="9" t="s">
        <v>6</v>
      </c>
      <c r="Q14" s="10"/>
      <c r="R14" s="10"/>
      <c r="S14" s="6" t="s">
        <v>28</v>
      </c>
      <c r="T14" s="29">
        <f>Load!BE26</f>
        <v>31</v>
      </c>
      <c r="U14" s="30" t="s">
        <v>32</v>
      </c>
    </row>
    <row r="15" spans="2:21" ht="16" customHeight="1">
      <c r="B15" s="10"/>
      <c r="C15" s="9" t="s">
        <v>10</v>
      </c>
      <c r="D15" s="10"/>
      <c r="E15" s="10"/>
      <c r="F15" s="10"/>
      <c r="G15" s="10"/>
      <c r="H15" s="10"/>
      <c r="I15" s="6" t="s">
        <v>28</v>
      </c>
      <c r="J15" s="10">
        <f>Load!M32</f>
        <v>0</v>
      </c>
      <c r="K15" s="10"/>
      <c r="L15" s="10"/>
      <c r="M15" s="10"/>
      <c r="N15" s="10"/>
      <c r="O15" s="10"/>
      <c r="P15" s="9" t="s">
        <v>33</v>
      </c>
      <c r="Q15" s="10"/>
      <c r="R15" s="10"/>
      <c r="S15" s="6" t="s">
        <v>28</v>
      </c>
      <c r="T15" s="29">
        <v>1</v>
      </c>
      <c r="U15" s="30" t="s">
        <v>32</v>
      </c>
    </row>
    <row r="16" spans="2:21" ht="16" customHeight="1">
      <c r="B16" s="10"/>
      <c r="C16" s="9" t="s">
        <v>12</v>
      </c>
      <c r="D16" s="10"/>
      <c r="E16" s="10"/>
      <c r="F16" s="10"/>
      <c r="G16" s="10"/>
      <c r="H16" s="10"/>
      <c r="I16" s="6" t="s">
        <v>28</v>
      </c>
      <c r="J16" s="10" t="str">
        <f>Load!BG29</f>
        <v>KL14 AF 2789</v>
      </c>
      <c r="K16" s="10"/>
      <c r="L16" s="10"/>
      <c r="M16" s="10"/>
      <c r="N16" s="10"/>
      <c r="O16" s="10"/>
      <c r="P16" s="9" t="s">
        <v>34</v>
      </c>
      <c r="Q16" s="10"/>
      <c r="R16" s="10"/>
      <c r="S16" s="6" t="s">
        <v>28</v>
      </c>
      <c r="T16" s="29">
        <f>T12/4</f>
        <v>2.5</v>
      </c>
      <c r="U16" s="30" t="s">
        <v>32</v>
      </c>
    </row>
    <row r="17" spans="2:22" ht="16" customHeight="1">
      <c r="B17" s="10"/>
      <c r="C17" s="9" t="s">
        <v>11</v>
      </c>
      <c r="D17" s="10"/>
      <c r="E17" s="10"/>
      <c r="F17" s="10"/>
      <c r="G17" s="10"/>
      <c r="H17" s="10"/>
      <c r="I17" s="6" t="s">
        <v>28</v>
      </c>
      <c r="J17" s="10">
        <f>Load!AZ32</f>
        <v>0</v>
      </c>
      <c r="K17" s="10"/>
      <c r="L17" s="10"/>
      <c r="M17" s="10"/>
      <c r="N17" s="10"/>
      <c r="O17" s="10"/>
      <c r="P17" s="9" t="s">
        <v>35</v>
      </c>
      <c r="Q17" s="10"/>
      <c r="R17" s="10"/>
      <c r="S17" s="10"/>
      <c r="T17" s="10">
        <v>0</v>
      </c>
      <c r="U17" s="31" t="s">
        <v>36</v>
      </c>
    </row>
    <row r="18" spans="2:22">
      <c r="C18" s="9" t="s">
        <v>8</v>
      </c>
      <c r="D18" s="10"/>
      <c r="E18" s="10"/>
      <c r="F18" s="10"/>
      <c r="G18" s="10"/>
      <c r="H18" s="10"/>
      <c r="I18" s="6" t="s">
        <v>28</v>
      </c>
      <c r="J18" s="10">
        <f>Load!$AZ$34</f>
        <v>0</v>
      </c>
      <c r="K18" s="10"/>
      <c r="L18" s="10"/>
      <c r="M18" s="10"/>
      <c r="N18" s="10"/>
      <c r="O18" s="10"/>
    </row>
    <row r="19" spans="2:22">
      <c r="C19" s="9" t="s">
        <v>37</v>
      </c>
      <c r="D19" s="10"/>
      <c r="E19" s="10"/>
      <c r="F19" s="10"/>
      <c r="G19" s="10"/>
      <c r="H19" s="10"/>
      <c r="I19" s="6" t="s">
        <v>28</v>
      </c>
      <c r="J19" s="10" t="s">
        <v>25</v>
      </c>
      <c r="K19" s="10"/>
      <c r="L19" s="10"/>
      <c r="M19" s="10"/>
      <c r="N19" s="10"/>
      <c r="O19" s="10"/>
    </row>
    <row r="20" spans="2:22" ht="22" customHeight="1">
      <c r="B20" s="296" t="s">
        <v>38</v>
      </c>
      <c r="C20" s="296"/>
      <c r="D20" s="296"/>
      <c r="E20" s="296"/>
      <c r="F20" s="296"/>
      <c r="G20" s="296"/>
      <c r="H20" s="296"/>
      <c r="I20" s="296"/>
      <c r="J20" s="296"/>
      <c r="K20" s="296" t="s">
        <v>39</v>
      </c>
      <c r="L20" s="296"/>
      <c r="M20" s="296"/>
      <c r="N20" s="296" t="s">
        <v>40</v>
      </c>
      <c r="O20" s="296"/>
      <c r="P20" s="296"/>
      <c r="Q20" s="32" t="s">
        <v>41</v>
      </c>
      <c r="R20" s="296" t="s">
        <v>42</v>
      </c>
      <c r="S20" s="296"/>
      <c r="T20" s="296"/>
      <c r="U20" s="296"/>
    </row>
    <row r="21" spans="2:22" ht="14.5" customHeight="1">
      <c r="B21" s="297" t="str">
        <f>Load!W45</f>
        <v>M SAND</v>
      </c>
      <c r="C21" s="297"/>
      <c r="D21" s="12" t="str">
        <f>Load!AA45</f>
        <v xml:space="preserve">M SAND </v>
      </c>
      <c r="E21" s="293" t="str">
        <f>Load!AE45</f>
        <v>12 MM</v>
      </c>
      <c r="F21" s="293"/>
      <c r="G21" s="293"/>
      <c r="H21" s="14" t="str">
        <f>Load!AG45</f>
        <v>20 MM</v>
      </c>
      <c r="I21" s="293" t="str">
        <f>Load!AJ45</f>
        <v>0</v>
      </c>
      <c r="J21" s="293"/>
      <c r="K21" s="13" t="str">
        <f>Load!AL45</f>
        <v>CEM 1</v>
      </c>
      <c r="L21" s="13" t="str">
        <f>Load!AP45</f>
        <v>CEM 2</v>
      </c>
      <c r="M21" s="13" t="str">
        <f>Load!AR45</f>
        <v>CEM 3</v>
      </c>
      <c r="O21" s="293" t="str">
        <f>Load!BC45</f>
        <v>WATER</v>
      </c>
      <c r="P21" s="293"/>
      <c r="Q21" s="5" t="s">
        <v>43</v>
      </c>
      <c r="R21" s="297" t="str">
        <f>Load!AV45</f>
        <v>ADMIX1</v>
      </c>
      <c r="S21" s="297"/>
      <c r="T21" s="297" t="str">
        <f>Load!AY45</f>
        <v>ADMIX2</v>
      </c>
      <c r="U21" s="297"/>
    </row>
    <row r="22" spans="2:22">
      <c r="B22" s="10" t="s">
        <v>44</v>
      </c>
    </row>
    <row r="23" spans="2:22" s="2" customFormat="1" ht="20.5" customHeight="1">
      <c r="B23" s="294">
        <f>Load!W46</f>
        <v>0</v>
      </c>
      <c r="C23" s="294"/>
      <c r="D23" s="15">
        <f>Load!AA46</f>
        <v>743</v>
      </c>
      <c r="E23" s="295">
        <f>Load!AE46</f>
        <v>435</v>
      </c>
      <c r="F23" s="295"/>
      <c r="G23" s="295"/>
      <c r="H23" s="15">
        <f>Load!AG46</f>
        <v>681</v>
      </c>
      <c r="I23" s="295"/>
      <c r="J23" s="295"/>
      <c r="K23" s="27">
        <f>Load!AL46</f>
        <v>340</v>
      </c>
      <c r="L23" s="27">
        <f>Load!AP46</f>
        <v>0</v>
      </c>
      <c r="M23" s="27">
        <f>Load!AR46</f>
        <v>100</v>
      </c>
      <c r="N23" s="27">
        <v>0</v>
      </c>
      <c r="O23" s="294">
        <f>Load!BC46</f>
        <v>154</v>
      </c>
      <c r="P23" s="294"/>
      <c r="Q23" s="33">
        <v>0</v>
      </c>
      <c r="R23" s="292">
        <f>Load!AV46</f>
        <v>2.6</v>
      </c>
      <c r="S23" s="292"/>
      <c r="T23" s="292">
        <f>Load!AY46</f>
        <v>0</v>
      </c>
      <c r="U23" s="292"/>
    </row>
    <row r="24" spans="2:22" ht="20.149999999999999" customHeight="1">
      <c r="B24" s="5" t="s">
        <v>45</v>
      </c>
    </row>
    <row r="25" spans="2:22">
      <c r="B25" s="280">
        <f>Load!W47</f>
        <v>0</v>
      </c>
      <c r="C25" s="280"/>
      <c r="D25" s="17">
        <f>Load!AA47</f>
        <v>2</v>
      </c>
      <c r="E25" s="280">
        <f>Load!AE47</f>
        <v>1</v>
      </c>
      <c r="F25" s="280"/>
      <c r="G25" s="280"/>
      <c r="H25" s="18">
        <f>Load!AG47</f>
        <v>1</v>
      </c>
      <c r="I25" s="280">
        <v>0</v>
      </c>
      <c r="J25" s="280"/>
      <c r="K25" s="14"/>
      <c r="L25" s="14"/>
      <c r="M25" s="14"/>
      <c r="N25" s="14"/>
      <c r="O25" s="293">
        <v>0</v>
      </c>
      <c r="P25" s="293"/>
      <c r="Q25" s="14"/>
      <c r="R25" s="14"/>
      <c r="S25" s="14"/>
      <c r="T25" s="14"/>
      <c r="U25" s="14"/>
    </row>
    <row r="26" spans="2:22">
      <c r="B26" s="280">
        <f>Load!W48</f>
        <v>0</v>
      </c>
      <c r="C26" s="280"/>
      <c r="D26" s="124">
        <f>Load!AA48</f>
        <v>4.5</v>
      </c>
      <c r="E26" s="280">
        <f>Load!AE48</f>
        <v>0</v>
      </c>
      <c r="F26" s="280"/>
      <c r="G26" s="280"/>
      <c r="H26" s="16">
        <f>Load!AG48</f>
        <v>0</v>
      </c>
      <c r="I26" s="280">
        <v>0</v>
      </c>
      <c r="J26" s="280"/>
      <c r="K26" s="14"/>
      <c r="L26" s="14"/>
      <c r="M26" s="14"/>
      <c r="N26" s="13" t="s">
        <v>46</v>
      </c>
      <c r="O26" s="279">
        <v>0</v>
      </c>
      <c r="P26" s="279"/>
      <c r="Q26" s="14"/>
      <c r="R26" s="14"/>
      <c r="S26" s="14"/>
      <c r="T26" s="14"/>
      <c r="U26" s="14"/>
    </row>
    <row r="27" spans="2:22">
      <c r="B27" s="286">
        <f>(((B26-B25)*(B23*T16))/100)+(((B26-B25)*(((B26-B25)*(B23*T16))/100))/100)+(B23*T16)</f>
        <v>0</v>
      </c>
      <c r="C27" s="286">
        <f t="shared" ref="C27" si="0">(((C26-C25)*C23)/100)+(((C26-C25)*(((C26-C25)*C23)/100))/100)+C23</f>
        <v>0</v>
      </c>
      <c r="D27" s="20">
        <f>(((D26-D25)*(D23*T16))/100)+(((D26-D25)*(((D26-D25)*(D23*T16))/100))/100)+(D23*T16)</f>
        <v>1905.0984375</v>
      </c>
      <c r="E27" s="286">
        <f>(((E26-E25)*(E23*T16))/100)+(((E26-E25)*(((E26-E25)*(T16*E23))/100))/100)+(T16*E23)</f>
        <v>1076.7337500000001</v>
      </c>
      <c r="F27" s="286">
        <f t="shared" ref="F27:G27" si="1">(((F26-F25)*F23)/100)+(((F26-F25)*(((F26-F25)*F23)/100))/100)+F23</f>
        <v>0</v>
      </c>
      <c r="G27" s="286">
        <f t="shared" si="1"/>
        <v>0</v>
      </c>
      <c r="H27" s="21">
        <f>(((H26-H25)*(T16*H23))/100)+(((H26-H25)*(((H26-H25)*(T16*H23))/100))/100)+(T16*H23)</f>
        <v>1685.64525</v>
      </c>
      <c r="I27" s="286">
        <f>(((I26-I25)*(T16*I23))/100)+(((I26-I25)*(((I26-I25)*(T16*I23))/100))/100)+(T16*I23)</f>
        <v>0</v>
      </c>
      <c r="J27" s="286">
        <f t="shared" ref="J27" si="2">(((J26-J25)*J23)/100)+(((J26-J25)*(((J26-J25)*J23)/100))/100)+J23</f>
        <v>0</v>
      </c>
      <c r="K27" s="21">
        <f>K23*T16</f>
        <v>850</v>
      </c>
      <c r="L27" s="21">
        <f>L23*T16</f>
        <v>0</v>
      </c>
      <c r="M27" s="21">
        <f>M23*T16</f>
        <v>250</v>
      </c>
      <c r="N27" s="25">
        <v>0</v>
      </c>
      <c r="O27" s="291">
        <f>(T16*O23)-(((B27*B26/100)-(B27*B25/100))+((D27*D26/100)-(D27*D25/100))+((E27*E26/100)-(E27*E25/100))+((H27*H26/100)-(H27*H25/100)))</f>
        <v>364.99632906250002</v>
      </c>
      <c r="P27" s="291"/>
      <c r="Q27" s="34">
        <v>0</v>
      </c>
      <c r="R27" s="280">
        <f>R23*T16</f>
        <v>6.5</v>
      </c>
      <c r="S27" s="280"/>
      <c r="T27" s="289">
        <f>T23*T16</f>
        <v>0</v>
      </c>
      <c r="U27" s="289"/>
    </row>
    <row r="28" spans="2:22">
      <c r="B28" s="286">
        <f ca="1">$B$27+($B$27*1*(0.5-RAND()))/100</f>
        <v>0</v>
      </c>
      <c r="C28" s="286"/>
      <c r="D28" s="21">
        <f ca="1">$D$27+($D$27*1*(0.5-RAND()))/100</f>
        <v>1905.7835451018796</v>
      </c>
      <c r="E28" s="286">
        <f ca="1">$E$27+($E$27*1*(0.5-RAND()))/100</f>
        <v>1078.8072866153509</v>
      </c>
      <c r="F28" s="286"/>
      <c r="G28" s="286"/>
      <c r="H28" s="21">
        <f ca="1">$H$27+($H$27*1*(0.5-RAND()))/100</f>
        <v>1690.334451574608</v>
      </c>
      <c r="I28" s="286">
        <f ca="1">$I$27+($I$27*1*(0.5-RAND()))/100</f>
        <v>0</v>
      </c>
      <c r="J28" s="286"/>
      <c r="K28" s="21">
        <f ca="1">$K$27+($K$27*2*(0.5-RAND()))/100</f>
        <v>847.16871615152354</v>
      </c>
      <c r="L28" s="21">
        <f ca="1">$L$27+($L$27*2*(0.5-RAND()))/100</f>
        <v>0</v>
      </c>
      <c r="M28" s="21">
        <f ca="1">$M$27+($M$27*2*(0.5-RAND()))/100</f>
        <v>248.76423255872103</v>
      </c>
      <c r="N28" s="25">
        <f ca="1">N27+(N27*1*(0.5-RAND()))/100</f>
        <v>0</v>
      </c>
      <c r="O28" s="286">
        <f ca="1">$O$27+($O$27*(Load!$BM$46+Load!$BO$46*RAND()))/100</f>
        <v>362.23030181703933</v>
      </c>
      <c r="P28" s="286"/>
      <c r="Q28" s="34">
        <v>0</v>
      </c>
      <c r="R28" s="280">
        <f ca="1">$R$27+($R$27*2*(0.5-RAND()))/100</f>
        <v>6.466616339275312</v>
      </c>
      <c r="S28" s="280"/>
      <c r="T28" s="290">
        <v>0</v>
      </c>
      <c r="U28" s="290"/>
    </row>
    <row r="29" spans="2:22">
      <c r="B29" s="280">
        <f>$B$25</f>
        <v>0</v>
      </c>
      <c r="C29" s="280"/>
      <c r="D29" s="17">
        <f>$D$25</f>
        <v>2</v>
      </c>
      <c r="E29" s="280">
        <f>$E$25</f>
        <v>1</v>
      </c>
      <c r="F29" s="280"/>
      <c r="G29" s="280"/>
      <c r="H29" s="18">
        <f>$H$25</f>
        <v>1</v>
      </c>
      <c r="I29" s="280">
        <v>0</v>
      </c>
      <c r="J29" s="280"/>
      <c r="K29" s="14"/>
      <c r="L29" s="14"/>
      <c r="M29" s="14"/>
      <c r="N29" s="14"/>
      <c r="O29" s="293">
        <v>0</v>
      </c>
      <c r="P29" s="293"/>
      <c r="Q29" s="14"/>
      <c r="R29" s="14"/>
      <c r="S29" s="14"/>
      <c r="T29" s="14"/>
      <c r="U29" s="14"/>
    </row>
    <row r="30" spans="2:22">
      <c r="B30" s="280">
        <f>$B$26</f>
        <v>0</v>
      </c>
      <c r="C30" s="280"/>
      <c r="D30" s="124">
        <f>$D$26</f>
        <v>4.5</v>
      </c>
      <c r="E30" s="280">
        <f>$E$26</f>
        <v>0</v>
      </c>
      <c r="F30" s="280"/>
      <c r="G30" s="280"/>
      <c r="H30" s="16">
        <f>$H$26</f>
        <v>0</v>
      </c>
      <c r="I30" s="280">
        <v>0</v>
      </c>
      <c r="J30" s="280"/>
      <c r="K30" s="14"/>
      <c r="L30" s="14"/>
      <c r="M30" s="14"/>
      <c r="N30" s="13" t="s">
        <v>46</v>
      </c>
      <c r="O30" s="279">
        <v>0</v>
      </c>
      <c r="P30" s="279"/>
      <c r="Q30" s="14"/>
      <c r="R30" s="14"/>
      <c r="S30" s="14"/>
      <c r="T30" s="14"/>
      <c r="U30" s="14"/>
    </row>
    <row r="31" spans="2:22" s="3" customFormat="1">
      <c r="B31" s="286">
        <f>ROUND($B$27,0)</f>
        <v>0</v>
      </c>
      <c r="C31" s="286"/>
      <c r="D31" s="21">
        <f>ROUND(($D$27),0)</f>
        <v>1905</v>
      </c>
      <c r="E31" s="286">
        <f>ROUND($E$27,0)</f>
        <v>1077</v>
      </c>
      <c r="F31" s="286">
        <f t="shared" ref="F31:U31" si="3">F$27</f>
        <v>0</v>
      </c>
      <c r="G31" s="286">
        <f t="shared" si="3"/>
        <v>0</v>
      </c>
      <c r="H31" s="21">
        <f>ROUND($H$27,0)</f>
        <v>1686</v>
      </c>
      <c r="I31" s="286">
        <f>$I$27</f>
        <v>0</v>
      </c>
      <c r="J31" s="286">
        <f t="shared" si="3"/>
        <v>0</v>
      </c>
      <c r="K31" s="21">
        <f>$K$27</f>
        <v>850</v>
      </c>
      <c r="L31" s="21">
        <f>$L$27</f>
        <v>0</v>
      </c>
      <c r="M31" s="21">
        <f>$M$27</f>
        <v>250</v>
      </c>
      <c r="N31" s="25">
        <f>$N$27</f>
        <v>0</v>
      </c>
      <c r="O31" s="286">
        <f>$O$27</f>
        <v>364.99632906250002</v>
      </c>
      <c r="P31" s="286">
        <f t="shared" si="3"/>
        <v>0</v>
      </c>
      <c r="Q31" s="34">
        <f>$Q$27</f>
        <v>0</v>
      </c>
      <c r="R31" s="280">
        <f>$R$27</f>
        <v>6.5</v>
      </c>
      <c r="S31" s="280">
        <f t="shared" si="3"/>
        <v>0</v>
      </c>
      <c r="T31" s="289">
        <f>$T$27</f>
        <v>0</v>
      </c>
      <c r="U31" s="289">
        <f t="shared" si="3"/>
        <v>0</v>
      </c>
      <c r="V31" s="5"/>
    </row>
    <row r="32" spans="2:22" s="3" customFormat="1">
      <c r="B32" s="286">
        <f ca="1">$B$27+($B$27*1*(0.5-RAND()))/100</f>
        <v>0</v>
      </c>
      <c r="C32" s="286"/>
      <c r="D32" s="21">
        <f ca="1">$D$27+($D$27*1*(0.5-RAND()))/100</f>
        <v>1899.925510817975</v>
      </c>
      <c r="E32" s="286">
        <f ca="1">$E$27+($E$27*1*(0.5-RAND()))/100</f>
        <v>1073.4236667895905</v>
      </c>
      <c r="F32" s="286"/>
      <c r="G32" s="286"/>
      <c r="H32" s="21">
        <f ca="1">$H$27+($H$27*1*(0.5-RAND()))/100</f>
        <v>1685.9358766486771</v>
      </c>
      <c r="I32" s="286">
        <f ca="1">$I$27+($I$27*1*(0.5-RAND()))/100</f>
        <v>0</v>
      </c>
      <c r="J32" s="286"/>
      <c r="K32" s="21">
        <f ca="1">$K$27+($K$27*2*(0.5-RAND()))/100</f>
        <v>850.11094966438168</v>
      </c>
      <c r="L32" s="21">
        <f ca="1">$L$27+($L$27*2*(0.5-RAND()))/100</f>
        <v>0</v>
      </c>
      <c r="M32" s="21">
        <f ca="1">$M$27+($M$27*2*(0.5-RAND()))/100</f>
        <v>250.86126202803598</v>
      </c>
      <c r="N32" s="25">
        <v>0</v>
      </c>
      <c r="O32" s="286">
        <f ca="1">$O$27+($O$27*(Load!$BM$46+Load!$BO$46*RAND()))/100</f>
        <v>357.83837778572843</v>
      </c>
      <c r="P32" s="286"/>
      <c r="Q32" s="16">
        <v>0</v>
      </c>
      <c r="R32" s="280">
        <f ca="1">$R$27+($R$27*2*(0.5-RAND()))/100</f>
        <v>6.544625181377989</v>
      </c>
      <c r="S32" s="280"/>
      <c r="T32" s="290">
        <v>0</v>
      </c>
      <c r="U32" s="290"/>
      <c r="V32" s="5"/>
    </row>
    <row r="33" spans="2:22" s="3" customFormat="1">
      <c r="B33" s="280">
        <f>$B$25</f>
        <v>0</v>
      </c>
      <c r="C33" s="280"/>
      <c r="D33" s="17">
        <f>$D$25</f>
        <v>2</v>
      </c>
      <c r="E33" s="280">
        <f>$E$25</f>
        <v>1</v>
      </c>
      <c r="F33" s="280"/>
      <c r="G33" s="280"/>
      <c r="H33" s="18">
        <f>$H$25</f>
        <v>1</v>
      </c>
      <c r="I33" s="280">
        <v>0</v>
      </c>
      <c r="J33" s="280"/>
      <c r="K33" s="14"/>
      <c r="L33" s="14"/>
      <c r="M33" s="14"/>
      <c r="N33" s="14"/>
      <c r="O33" s="293">
        <v>0</v>
      </c>
      <c r="P33" s="293"/>
      <c r="Q33" s="14"/>
      <c r="R33" s="14"/>
      <c r="S33" s="14"/>
      <c r="T33" s="14"/>
      <c r="U33" s="14"/>
      <c r="V33" s="5"/>
    </row>
    <row r="34" spans="2:22" s="3" customFormat="1">
      <c r="B34" s="280">
        <f>$B$26</f>
        <v>0</v>
      </c>
      <c r="C34" s="280"/>
      <c r="D34" s="124">
        <f>$D$26</f>
        <v>4.5</v>
      </c>
      <c r="E34" s="280">
        <f>$E$26</f>
        <v>0</v>
      </c>
      <c r="F34" s="280"/>
      <c r="G34" s="280"/>
      <c r="H34" s="16">
        <f>$H$26</f>
        <v>0</v>
      </c>
      <c r="I34" s="280">
        <v>0</v>
      </c>
      <c r="J34" s="280"/>
      <c r="K34" s="14"/>
      <c r="L34" s="14"/>
      <c r="M34" s="14"/>
      <c r="N34" s="13" t="s">
        <v>46</v>
      </c>
      <c r="O34" s="279">
        <v>0</v>
      </c>
      <c r="P34" s="279"/>
      <c r="Q34" s="14"/>
      <c r="R34" s="14"/>
      <c r="S34" s="14"/>
      <c r="T34" s="14"/>
      <c r="U34" s="14"/>
      <c r="V34" s="5"/>
    </row>
    <row r="35" spans="2:22" s="3" customFormat="1">
      <c r="B35" s="286">
        <f>ROUND($B$27,0)</f>
        <v>0</v>
      </c>
      <c r="C35" s="286"/>
      <c r="D35" s="21">
        <f>ROUND(($D$27),0)</f>
        <v>1905</v>
      </c>
      <c r="E35" s="286">
        <f>ROUND($E$27,0)</f>
        <v>1077</v>
      </c>
      <c r="F35" s="286">
        <f t="shared" ref="F35:G35" si="4">F$27</f>
        <v>0</v>
      </c>
      <c r="G35" s="286">
        <f t="shared" si="4"/>
        <v>0</v>
      </c>
      <c r="H35" s="21">
        <f>ROUND($H$27,0)</f>
        <v>1686</v>
      </c>
      <c r="I35" s="286">
        <f>$I$27</f>
        <v>0</v>
      </c>
      <c r="J35" s="286">
        <f t="shared" ref="J35" si="5">J$27</f>
        <v>0</v>
      </c>
      <c r="K35" s="21">
        <f>$K$27</f>
        <v>850</v>
      </c>
      <c r="L35" s="21">
        <f>$L$27</f>
        <v>0</v>
      </c>
      <c r="M35" s="21">
        <f>$M$27</f>
        <v>250</v>
      </c>
      <c r="N35" s="25">
        <f>$N$27</f>
        <v>0</v>
      </c>
      <c r="O35" s="286">
        <f>$O$27</f>
        <v>364.99632906250002</v>
      </c>
      <c r="P35" s="286">
        <f t="shared" ref="P35" si="6">P$27</f>
        <v>0</v>
      </c>
      <c r="Q35" s="16">
        <f>$Q$27</f>
        <v>0</v>
      </c>
      <c r="R35" s="280">
        <f>$R$27</f>
        <v>6.5</v>
      </c>
      <c r="S35" s="280">
        <f t="shared" ref="S35" si="7">S$27</f>
        <v>0</v>
      </c>
      <c r="T35" s="289">
        <f>$T$27</f>
        <v>0</v>
      </c>
      <c r="U35" s="289">
        <f t="shared" ref="U35" si="8">U$27</f>
        <v>0</v>
      </c>
      <c r="V35" s="5"/>
    </row>
    <row r="36" spans="2:22" s="3" customFormat="1">
      <c r="B36" s="286">
        <f ca="1">$B$27+($B$27*1*(0.5-RAND()))/100</f>
        <v>0</v>
      </c>
      <c r="C36" s="286"/>
      <c r="D36" s="21">
        <f ca="1">$D$27+($D$27*1*(0.5-RAND()))/100</f>
        <v>1905.2878432682853</v>
      </c>
      <c r="E36" s="286">
        <f ca="1">$E$27+($E$27*1*(0.5-RAND()))/100</f>
        <v>1073.0481420030733</v>
      </c>
      <c r="F36" s="286"/>
      <c r="G36" s="286"/>
      <c r="H36" s="21">
        <f ca="1">$H$27+($H$27*1*(0.5-RAND()))/100</f>
        <v>1686.7703548550435</v>
      </c>
      <c r="I36" s="286">
        <f ca="1">$I$27+($I$27*1*(0.5-RAND()))/100</f>
        <v>0</v>
      </c>
      <c r="J36" s="286"/>
      <c r="K36" s="21">
        <f ca="1">$K$27+($K$27*2*(0.5-RAND()))/100</f>
        <v>851.30264145006538</v>
      </c>
      <c r="L36" s="21">
        <f ca="1">$L$27+($L$27*2*(0.5-RAND()))/100</f>
        <v>0</v>
      </c>
      <c r="M36" s="21">
        <f ca="1">$M$27+($M$27*2*(0.5-RAND()))/100</f>
        <v>251.63373074071808</v>
      </c>
      <c r="N36" s="25">
        <v>0</v>
      </c>
      <c r="O36" s="286">
        <f ca="1">$O$27+($O$27*(Load!$BM$46+Load!$BO$46*RAND()))/100</f>
        <v>360.14430098039327</v>
      </c>
      <c r="P36" s="286"/>
      <c r="Q36" s="16">
        <v>0</v>
      </c>
      <c r="R36" s="280">
        <f ca="1">$R$27+($R$27*2*(0.5-RAND()))/100</f>
        <v>6.4594104225382205</v>
      </c>
      <c r="S36" s="280"/>
      <c r="T36" s="290">
        <v>0</v>
      </c>
      <c r="U36" s="290"/>
      <c r="V36" s="5"/>
    </row>
    <row r="37" spans="2:22" s="3" customFormat="1">
      <c r="B37" s="280">
        <f>$B$25</f>
        <v>0</v>
      </c>
      <c r="C37" s="280"/>
      <c r="D37" s="17">
        <f>$D$25</f>
        <v>2</v>
      </c>
      <c r="E37" s="280">
        <f>$E$25</f>
        <v>1</v>
      </c>
      <c r="F37" s="280"/>
      <c r="G37" s="280"/>
      <c r="H37" s="18">
        <f>$H$25</f>
        <v>1</v>
      </c>
      <c r="I37" s="280">
        <v>0</v>
      </c>
      <c r="J37" s="280"/>
      <c r="K37" s="14"/>
      <c r="L37" s="14"/>
      <c r="M37" s="14"/>
      <c r="N37" s="14"/>
      <c r="O37" s="293">
        <v>0</v>
      </c>
      <c r="P37" s="293"/>
      <c r="Q37" s="14"/>
      <c r="R37" s="14"/>
      <c r="S37" s="14"/>
      <c r="T37" s="14"/>
      <c r="U37" s="14"/>
      <c r="V37" s="5"/>
    </row>
    <row r="38" spans="2:22" s="3" customFormat="1">
      <c r="B38" s="280">
        <f>$B$26</f>
        <v>0</v>
      </c>
      <c r="C38" s="280"/>
      <c r="D38" s="124">
        <f>$D$26</f>
        <v>4.5</v>
      </c>
      <c r="E38" s="280">
        <f>$E$26</f>
        <v>0</v>
      </c>
      <c r="F38" s="280"/>
      <c r="G38" s="280"/>
      <c r="H38" s="16">
        <f>$H$26</f>
        <v>0</v>
      </c>
      <c r="I38" s="280">
        <v>0</v>
      </c>
      <c r="J38" s="280"/>
      <c r="K38" s="14"/>
      <c r="L38" s="14"/>
      <c r="M38" s="14"/>
      <c r="N38" s="13" t="s">
        <v>46</v>
      </c>
      <c r="O38" s="279">
        <v>0</v>
      </c>
      <c r="P38" s="279"/>
      <c r="Q38" s="14"/>
      <c r="R38" s="14"/>
      <c r="S38" s="14"/>
      <c r="T38" s="14"/>
      <c r="U38" s="14"/>
      <c r="V38" s="5"/>
    </row>
    <row r="39" spans="2:22" s="3" customFormat="1">
      <c r="B39" s="286">
        <f>ROUND($B$27,0)</f>
        <v>0</v>
      </c>
      <c r="C39" s="286"/>
      <c r="D39" s="21">
        <f>ROUND(($D$27),0)</f>
        <v>1905</v>
      </c>
      <c r="E39" s="286">
        <f>ROUND($E$27,0)</f>
        <v>1077</v>
      </c>
      <c r="F39" s="286">
        <f t="shared" ref="F39:G39" si="9">F$27</f>
        <v>0</v>
      </c>
      <c r="G39" s="286">
        <f t="shared" si="9"/>
        <v>0</v>
      </c>
      <c r="H39" s="21">
        <f>ROUND($H$27,0)</f>
        <v>1686</v>
      </c>
      <c r="I39" s="286">
        <f>$I$27</f>
        <v>0</v>
      </c>
      <c r="J39" s="286">
        <f t="shared" ref="J39" si="10">J$27</f>
        <v>0</v>
      </c>
      <c r="K39" s="21">
        <f>$K$27</f>
        <v>850</v>
      </c>
      <c r="L39" s="21">
        <f>$L$27</f>
        <v>0</v>
      </c>
      <c r="M39" s="21">
        <f>$M$27</f>
        <v>250</v>
      </c>
      <c r="N39" s="25">
        <f>$N$27</f>
        <v>0</v>
      </c>
      <c r="O39" s="286">
        <f>$O$27</f>
        <v>364.99632906250002</v>
      </c>
      <c r="P39" s="286">
        <f t="shared" ref="P39" si="11">P$27</f>
        <v>0</v>
      </c>
      <c r="Q39" s="16">
        <f>$Q$27</f>
        <v>0</v>
      </c>
      <c r="R39" s="280">
        <f>$R$27</f>
        <v>6.5</v>
      </c>
      <c r="S39" s="280">
        <f t="shared" ref="S39" si="12">S$27</f>
        <v>0</v>
      </c>
      <c r="T39" s="289">
        <f>$T$27</f>
        <v>0</v>
      </c>
      <c r="U39" s="289">
        <f t="shared" ref="U39" si="13">U$27</f>
        <v>0</v>
      </c>
      <c r="V39" s="5"/>
    </row>
    <row r="40" spans="2:22" s="3" customFormat="1">
      <c r="B40" s="286">
        <f ca="1">$B$27+($B$27*1*(0.5-RAND()))/100</f>
        <v>0</v>
      </c>
      <c r="C40" s="286"/>
      <c r="D40" s="21">
        <f ca="1">$D$27+($D$27*1*(0.5-RAND()))/100</f>
        <v>1905.2504757990662</v>
      </c>
      <c r="E40" s="286">
        <f ca="1">$E$27+($E$27*1*(0.5-RAND()))/100</f>
        <v>1072.6112818377546</v>
      </c>
      <c r="F40" s="286"/>
      <c r="G40" s="286"/>
      <c r="H40" s="21">
        <f ca="1">$H$27+($H$27*1*(0.5-RAND()))/100</f>
        <v>1679.5135083839818</v>
      </c>
      <c r="I40" s="286">
        <f ca="1">$I$27+($I$27*1*(0.5-RAND()))/100</f>
        <v>0</v>
      </c>
      <c r="J40" s="286"/>
      <c r="K40" s="21">
        <f ca="1">$K$27+($K$27*2*(0.5-RAND()))/100</f>
        <v>852.54207088888506</v>
      </c>
      <c r="L40" s="21">
        <f ca="1">$L$27+($L$27*2*(0.5-RAND()))/100</f>
        <v>0</v>
      </c>
      <c r="M40" s="21">
        <f ca="1">$M$27+($M$27*2*(0.5-RAND()))/100</f>
        <v>248.07397756134918</v>
      </c>
      <c r="N40" s="25">
        <v>0</v>
      </c>
      <c r="O40" s="286">
        <f ca="1">$O$27+($O$27*(Load!$BM$46+Load!$BO$46*RAND()))/100</f>
        <v>367.55685942556653</v>
      </c>
      <c r="P40" s="286"/>
      <c r="Q40" s="16">
        <v>0</v>
      </c>
      <c r="R40" s="280">
        <f ca="1">$R$27+($R$27*2*(0.5-RAND()))/100</f>
        <v>6.4765525835901077</v>
      </c>
      <c r="S40" s="280"/>
      <c r="T40" s="290">
        <v>0</v>
      </c>
      <c r="U40" s="290"/>
      <c r="V40" s="5"/>
    </row>
    <row r="41" spans="2:22" s="4" customFormat="1" ht="18" customHeight="1">
      <c r="B41" s="22" t="s">
        <v>47</v>
      </c>
      <c r="C41" s="22"/>
      <c r="D41" s="23"/>
      <c r="E41" s="24"/>
      <c r="F41" s="24"/>
      <c r="G41" s="24"/>
      <c r="H41" s="23"/>
      <c r="I41" s="24"/>
      <c r="J41" s="24"/>
      <c r="K41" s="23"/>
      <c r="L41" s="23"/>
      <c r="M41" s="23"/>
      <c r="N41" s="28" t="s">
        <v>48</v>
      </c>
      <c r="O41" s="288">
        <v>0</v>
      </c>
      <c r="P41" s="288"/>
      <c r="Q41" s="23"/>
      <c r="R41" s="23"/>
      <c r="S41" s="23"/>
      <c r="T41" s="23"/>
      <c r="U41" s="23"/>
    </row>
    <row r="42" spans="2:22" s="3" customFormat="1" ht="17.5" customHeight="1">
      <c r="B42" s="285">
        <f>B39+B35+B31+B27</f>
        <v>0</v>
      </c>
      <c r="C42" s="285"/>
      <c r="D42" s="21">
        <f>ROUND((D39+D35+D31+D27),0)</f>
        <v>7620</v>
      </c>
      <c r="E42" s="286">
        <f>E39+E35+E31+E27</f>
        <v>4307.7337500000003</v>
      </c>
      <c r="F42" s="286"/>
      <c r="G42" s="286"/>
      <c r="H42" s="21">
        <f>H39+H35+H31+H27</f>
        <v>6743.6452499999996</v>
      </c>
      <c r="I42" s="286">
        <f>I39+I35+I31+I27</f>
        <v>0</v>
      </c>
      <c r="J42" s="286"/>
      <c r="K42" s="21">
        <f>K39+K35+K31+K27</f>
        <v>3400</v>
      </c>
      <c r="L42" s="21">
        <f>L39+L35+L31+L27</f>
        <v>0</v>
      </c>
      <c r="M42" s="21">
        <f>M39+M35+M31+M27</f>
        <v>1000</v>
      </c>
      <c r="N42" s="21">
        <v>0</v>
      </c>
      <c r="O42" s="287">
        <f>O39+O35+O31+O27</f>
        <v>1459.9853162500001</v>
      </c>
      <c r="P42" s="287"/>
      <c r="Q42" s="35">
        <f>Q39+Q35+Q31+Q27</f>
        <v>0</v>
      </c>
      <c r="R42" s="284">
        <f>R39+R35+R31+R27</f>
        <v>26</v>
      </c>
      <c r="S42" s="284"/>
      <c r="T42" s="284">
        <f>T39+T35+T31+T27</f>
        <v>0</v>
      </c>
      <c r="U42" s="284"/>
    </row>
    <row r="43" spans="2:22" s="3" customFormat="1" ht="22" customHeight="1">
      <c r="B43" s="2" t="s">
        <v>49</v>
      </c>
      <c r="C43" s="5"/>
      <c r="D43" s="14"/>
      <c r="E43" s="17"/>
      <c r="F43" s="17"/>
      <c r="G43" s="17"/>
      <c r="H43" s="14"/>
      <c r="I43" s="17"/>
      <c r="J43" s="17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</row>
    <row r="44" spans="2:22" s="3" customFormat="1" ht="17.5" customHeight="1">
      <c r="B44" s="285">
        <f ca="1">B40+B36+B32+B28</f>
        <v>0</v>
      </c>
      <c r="C44" s="285"/>
      <c r="D44" s="21">
        <f ca="1">D40+D36+D32+D28</f>
        <v>7616.2473749872061</v>
      </c>
      <c r="E44" s="286">
        <f ca="1">E40+E36+E32+E28</f>
        <v>4297.8903772457688</v>
      </c>
      <c r="F44" s="286"/>
      <c r="G44" s="286"/>
      <c r="H44" s="21">
        <f ca="1">H40+H36+H32+H28</f>
        <v>6742.55419146231</v>
      </c>
      <c r="I44" s="286">
        <f ca="1">I40+I36+I32+I28</f>
        <v>0</v>
      </c>
      <c r="J44" s="286"/>
      <c r="K44" s="21">
        <f ca="1">K40+K36+K32+K28</f>
        <v>3401.1243781548555</v>
      </c>
      <c r="L44" s="21">
        <f ca="1">L40+L36+L32+L28</f>
        <v>0</v>
      </c>
      <c r="M44" s="21">
        <f ca="1">M40+M36+M32+M28</f>
        <v>999.33320288882419</v>
      </c>
      <c r="N44" s="21">
        <f ca="1">N40+N36+N32+N28</f>
        <v>0</v>
      </c>
      <c r="O44" s="287">
        <f ca="1">O40+O36+O32+O28</f>
        <v>1447.7698400087277</v>
      </c>
      <c r="P44" s="287"/>
      <c r="Q44" s="35">
        <f>Q40+Q36+Q32+Q28</f>
        <v>0</v>
      </c>
      <c r="R44" s="284">
        <f ca="1">R40+R36+R32+R28</f>
        <v>25.947204526781629</v>
      </c>
      <c r="S44" s="284"/>
      <c r="T44" s="284">
        <f t="shared" ref="T44:U44" si="14">T40+T36+T32+T28</f>
        <v>0</v>
      </c>
      <c r="U44" s="284">
        <f t="shared" si="14"/>
        <v>0</v>
      </c>
    </row>
    <row r="45" spans="2:22" s="3" customFormat="1" ht="2.5" customHeight="1">
      <c r="B45" s="283"/>
      <c r="C45" s="283"/>
      <c r="D45" s="283"/>
      <c r="E45" s="283"/>
      <c r="F45" s="283"/>
      <c r="G45" s="283"/>
      <c r="H45" s="283"/>
      <c r="I45" s="283"/>
      <c r="J45" s="283"/>
      <c r="K45" s="283"/>
      <c r="L45" s="283"/>
      <c r="M45" s="283"/>
      <c r="N45" s="283"/>
      <c r="O45" s="283"/>
      <c r="P45" s="283"/>
      <c r="Q45" s="283"/>
      <c r="R45" s="283"/>
      <c r="S45" s="283"/>
      <c r="T45" s="283"/>
      <c r="U45" s="283"/>
    </row>
    <row r="46" spans="2:22" s="3" customFormat="1" ht="9.65" customHeight="1">
      <c r="B46" s="5"/>
      <c r="C46" s="5"/>
      <c r="D46" s="26"/>
      <c r="E46" s="17"/>
      <c r="F46" s="17"/>
      <c r="G46" s="17"/>
      <c r="H46" s="26"/>
      <c r="I46" s="17"/>
      <c r="J46" s="17"/>
      <c r="K46" s="26"/>
      <c r="L46" s="26"/>
      <c r="M46" s="26"/>
      <c r="N46" s="26"/>
      <c r="O46" s="26"/>
      <c r="P46" s="26"/>
      <c r="Q46" s="36"/>
      <c r="S46" s="26"/>
      <c r="T46" s="26"/>
      <c r="U46" s="26"/>
    </row>
    <row r="47" spans="2:22" s="3" customFormat="1">
      <c r="B47" s="5"/>
      <c r="C47" s="5"/>
      <c r="D47" s="26"/>
      <c r="E47" s="17"/>
      <c r="F47" s="17"/>
      <c r="G47" s="17"/>
      <c r="H47" s="26"/>
      <c r="I47" s="17"/>
      <c r="J47" s="17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</row>
    <row r="48" spans="2:22" s="3" customFormat="1">
      <c r="B48" s="5"/>
      <c r="C48" s="5"/>
      <c r="D48" s="26"/>
      <c r="E48" s="17"/>
      <c r="F48" s="17"/>
      <c r="G48" s="17"/>
      <c r="H48" s="26"/>
      <c r="I48" s="17"/>
      <c r="J48" s="17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</row>
    <row r="49" spans="2:21" s="3" customFormat="1">
      <c r="B49" s="5"/>
      <c r="C49" s="5"/>
      <c r="D49" s="26"/>
      <c r="E49" s="17"/>
      <c r="F49" s="17"/>
      <c r="G49" s="17"/>
      <c r="H49" s="26"/>
      <c r="I49" s="17"/>
      <c r="J49" s="17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</row>
    <row r="50" spans="2:21" s="3" customFormat="1">
      <c r="B50" s="5"/>
      <c r="C50" s="5"/>
      <c r="D50" s="26"/>
      <c r="E50" s="17"/>
      <c r="F50" s="17"/>
      <c r="G50" s="17"/>
      <c r="H50" s="26"/>
      <c r="I50" s="17"/>
      <c r="J50" s="17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</row>
    <row r="51" spans="2:21" s="3" customFormat="1">
      <c r="B51" s="279"/>
      <c r="C51" s="279"/>
      <c r="D51" s="26"/>
      <c r="E51" s="280"/>
      <c r="F51" s="280"/>
      <c r="G51" s="280"/>
      <c r="H51" s="26"/>
      <c r="I51" s="280"/>
      <c r="J51" s="280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</row>
    <row r="52" spans="2:21" s="3" customFormat="1">
      <c r="B52" s="279"/>
      <c r="C52" s="279"/>
      <c r="D52" s="26"/>
      <c r="E52" s="280"/>
      <c r="F52" s="280"/>
      <c r="G52" s="280"/>
      <c r="H52" s="26"/>
      <c r="I52" s="280"/>
      <c r="J52" s="280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</row>
    <row r="53" spans="2:21" s="3" customFormat="1">
      <c r="B53" s="279"/>
      <c r="C53" s="279"/>
      <c r="D53" s="26"/>
      <c r="E53" s="26"/>
      <c r="F53" s="26"/>
      <c r="G53" s="26"/>
      <c r="H53" s="26"/>
      <c r="I53" s="280"/>
      <c r="J53" s="280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</row>
    <row r="54" spans="2:21" s="3" customFormat="1">
      <c r="B54" s="279"/>
      <c r="C54" s="279"/>
      <c r="D54" s="26"/>
      <c r="E54" s="26"/>
      <c r="F54" s="26"/>
      <c r="G54" s="26"/>
      <c r="H54" s="26"/>
      <c r="I54" s="280"/>
      <c r="J54" s="280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</row>
    <row r="55" spans="2:21" s="3" customFormat="1">
      <c r="B55" s="279"/>
      <c r="C55" s="279"/>
      <c r="D55" s="26"/>
      <c r="E55" s="26"/>
      <c r="F55" s="26"/>
      <c r="G55" s="26"/>
      <c r="H55" s="26"/>
      <c r="I55" s="280"/>
      <c r="J55" s="280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</row>
    <row r="56" spans="2:21" s="3" customFormat="1">
      <c r="B56" s="279"/>
      <c r="C56" s="279"/>
      <c r="D56" s="26"/>
      <c r="E56" s="26"/>
      <c r="F56" s="26"/>
      <c r="G56" s="26"/>
      <c r="H56" s="26"/>
      <c r="I56" s="280"/>
      <c r="J56" s="280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</row>
    <row r="57" spans="2:21" s="3" customFormat="1">
      <c r="B57" s="26"/>
      <c r="C57" s="26"/>
      <c r="D57" s="26"/>
      <c r="E57" s="26"/>
      <c r="F57" s="26"/>
      <c r="G57" s="26"/>
      <c r="H57" s="26"/>
      <c r="I57" s="281"/>
      <c r="J57" s="281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</row>
    <row r="58" spans="2:21"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</row>
    <row r="59" spans="2:21"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</row>
    <row r="60" spans="2:21"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</row>
    <row r="61" spans="2:21"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</row>
    <row r="62" spans="2:21"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</row>
    <row r="63" spans="2:21"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</row>
    <row r="64" spans="2:21"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</row>
    <row r="65" spans="2:21"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</row>
    <row r="66" spans="2:21"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</row>
    <row r="67" spans="2:21"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</row>
    <row r="68" spans="2:21"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</row>
  </sheetData>
  <sheetProtection selectLockedCells="1"/>
  <mergeCells count="134">
    <mergeCell ref="B2:U2"/>
    <mergeCell ref="B7:U7"/>
    <mergeCell ref="G8:J8"/>
    <mergeCell ref="P8:R8"/>
    <mergeCell ref="S8:T8"/>
    <mergeCell ref="G9:J9"/>
    <mergeCell ref="G10:J10"/>
    <mergeCell ref="B20:J20"/>
    <mergeCell ref="K20:M20"/>
    <mergeCell ref="N20:P20"/>
    <mergeCell ref="R20:U20"/>
    <mergeCell ref="J11:K11"/>
    <mergeCell ref="B21:C21"/>
    <mergeCell ref="E21:G21"/>
    <mergeCell ref="I21:J21"/>
    <mergeCell ref="O21:P21"/>
    <mergeCell ref="R21:S21"/>
    <mergeCell ref="T21:U21"/>
    <mergeCell ref="B23:C23"/>
    <mergeCell ref="E23:G23"/>
    <mergeCell ref="I23:J23"/>
    <mergeCell ref="O23:P23"/>
    <mergeCell ref="R23:S23"/>
    <mergeCell ref="T23:U23"/>
    <mergeCell ref="B25:C25"/>
    <mergeCell ref="E25:G25"/>
    <mergeCell ref="I25:J25"/>
    <mergeCell ref="O25:P25"/>
    <mergeCell ref="B26:C26"/>
    <mergeCell ref="E26:G26"/>
    <mergeCell ref="I26:J26"/>
    <mergeCell ref="O26:P26"/>
    <mergeCell ref="B27:C27"/>
    <mergeCell ref="E27:G27"/>
    <mergeCell ref="I27:J27"/>
    <mergeCell ref="O27:P27"/>
    <mergeCell ref="R27:S27"/>
    <mergeCell ref="T27:U27"/>
    <mergeCell ref="B28:C28"/>
    <mergeCell ref="E28:G28"/>
    <mergeCell ref="I28:J28"/>
    <mergeCell ref="O28:P28"/>
    <mergeCell ref="R28:S28"/>
    <mergeCell ref="T28:U28"/>
    <mergeCell ref="B29:C29"/>
    <mergeCell ref="E29:G29"/>
    <mergeCell ref="I29:J29"/>
    <mergeCell ref="O29:P29"/>
    <mergeCell ref="B30:C30"/>
    <mergeCell ref="E30:G30"/>
    <mergeCell ref="I30:J30"/>
    <mergeCell ref="O30:P30"/>
    <mergeCell ref="B31:C31"/>
    <mergeCell ref="E31:G31"/>
    <mergeCell ref="I31:J31"/>
    <mergeCell ref="O31:P31"/>
    <mergeCell ref="R31:S31"/>
    <mergeCell ref="O34:P34"/>
    <mergeCell ref="B35:C35"/>
    <mergeCell ref="E35:G35"/>
    <mergeCell ref="I35:J35"/>
    <mergeCell ref="O35:P35"/>
    <mergeCell ref="R35:S35"/>
    <mergeCell ref="T31:U31"/>
    <mergeCell ref="B32:C32"/>
    <mergeCell ref="E32:G32"/>
    <mergeCell ref="I32:J32"/>
    <mergeCell ref="O32:P32"/>
    <mergeCell ref="R32:S32"/>
    <mergeCell ref="T32:U32"/>
    <mergeCell ref="B33:C33"/>
    <mergeCell ref="E33:G33"/>
    <mergeCell ref="I33:J33"/>
    <mergeCell ref="O33:P33"/>
    <mergeCell ref="R39:S39"/>
    <mergeCell ref="T35:U35"/>
    <mergeCell ref="B36:C36"/>
    <mergeCell ref="E36:G36"/>
    <mergeCell ref="I36:J36"/>
    <mergeCell ref="O36:P36"/>
    <mergeCell ref="R36:S36"/>
    <mergeCell ref="T36:U36"/>
    <mergeCell ref="B37:C37"/>
    <mergeCell ref="E37:G37"/>
    <mergeCell ref="I37:J37"/>
    <mergeCell ref="O37:P37"/>
    <mergeCell ref="R44:S44"/>
    <mergeCell ref="T44:U44"/>
    <mergeCell ref="B45:U45"/>
    <mergeCell ref="B51:C51"/>
    <mergeCell ref="E51:G51"/>
    <mergeCell ref="I51:J51"/>
    <mergeCell ref="T39:U39"/>
    <mergeCell ref="B40:C40"/>
    <mergeCell ref="E40:G40"/>
    <mergeCell ref="I40:J40"/>
    <mergeCell ref="O40:P40"/>
    <mergeCell ref="R40:S40"/>
    <mergeCell ref="T40:U40"/>
    <mergeCell ref="O41:P41"/>
    <mergeCell ref="B42:C42"/>
    <mergeCell ref="E42:G42"/>
    <mergeCell ref="I42:J42"/>
    <mergeCell ref="O42:P42"/>
    <mergeCell ref="R42:S42"/>
    <mergeCell ref="T42:U42"/>
    <mergeCell ref="B39:C39"/>
    <mergeCell ref="E39:G39"/>
    <mergeCell ref="I39:J39"/>
    <mergeCell ref="O39:P39"/>
    <mergeCell ref="B56:C56"/>
    <mergeCell ref="I56:J56"/>
    <mergeCell ref="I57:J57"/>
    <mergeCell ref="E3:Q4"/>
    <mergeCell ref="B52:C52"/>
    <mergeCell ref="E52:G52"/>
    <mergeCell ref="I52:J52"/>
    <mergeCell ref="B53:C53"/>
    <mergeCell ref="I53:J53"/>
    <mergeCell ref="B54:C54"/>
    <mergeCell ref="I54:J54"/>
    <mergeCell ref="B55:C55"/>
    <mergeCell ref="I55:J55"/>
    <mergeCell ref="B44:C44"/>
    <mergeCell ref="E44:G44"/>
    <mergeCell ref="I44:J44"/>
    <mergeCell ref="O44:P44"/>
    <mergeCell ref="B38:C38"/>
    <mergeCell ref="E38:G38"/>
    <mergeCell ref="I38:J38"/>
    <mergeCell ref="O38:P38"/>
    <mergeCell ref="B34:C34"/>
    <mergeCell ref="E34:G34"/>
    <mergeCell ref="I34:J34"/>
  </mergeCells>
  <printOptions horizontalCentered="1"/>
  <pageMargins left="3.9370078740157501E-2" right="3.9370078740157501E-2" top="0.55118110236220497" bottom="0.43307086614173201" header="0.196850393700787" footer="0.31496062992126"/>
  <pageSetup scale="94" orientation="portrait" horizontalDpi="360" verticalDpi="36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B1:V72"/>
  <sheetViews>
    <sheetView showGridLines="0" workbookViewId="0">
      <selection activeCell="W1" sqref="W1:AD1048576"/>
    </sheetView>
  </sheetViews>
  <sheetFormatPr defaultColWidth="8.7265625" defaultRowHeight="14"/>
  <cols>
    <col min="1" max="1" width="8.7265625" style="5"/>
    <col min="2" max="2" width="2.453125" style="5" customWidth="1"/>
    <col min="3" max="3" width="4.7265625" style="5" customWidth="1"/>
    <col min="4" max="4" width="6.453125" style="5" customWidth="1"/>
    <col min="5" max="7" width="2.54296875" style="5" customWidth="1"/>
    <col min="8" max="8" width="7.453125" style="5" customWidth="1"/>
    <col min="9" max="9" width="2.7265625" style="5" customWidth="1"/>
    <col min="10" max="10" width="4.1796875" style="5" customWidth="1"/>
    <col min="11" max="13" width="8.1796875" style="5" customWidth="1"/>
    <col min="14" max="14" width="9.54296875" style="5" customWidth="1"/>
    <col min="15" max="16" width="4.54296875" style="5" customWidth="1"/>
    <col min="17" max="17" width="10.453125" style="5" customWidth="1"/>
    <col min="18" max="19" width="4.7265625" style="5" customWidth="1"/>
    <col min="20" max="20" width="7.1796875" style="5" customWidth="1"/>
    <col min="21" max="21" width="3.26953125" style="5" customWidth="1"/>
    <col min="22" max="22" width="6.453125" style="5" customWidth="1"/>
    <col min="23" max="16384" width="8.7265625" style="5"/>
  </cols>
  <sheetData>
    <row r="1" spans="2:21" ht="8.15" customHeight="1"/>
    <row r="2" spans="2:21" ht="20">
      <c r="B2" s="300" t="s">
        <v>22</v>
      </c>
      <c r="C2" s="300"/>
      <c r="D2" s="300"/>
      <c r="E2" s="300"/>
      <c r="F2" s="300"/>
      <c r="G2" s="300"/>
      <c r="H2" s="300"/>
      <c r="I2" s="300"/>
      <c r="J2" s="300"/>
      <c r="K2" s="300"/>
      <c r="L2" s="300"/>
      <c r="M2" s="300"/>
      <c r="N2" s="300"/>
      <c r="O2" s="300"/>
      <c r="P2" s="300"/>
      <c r="Q2" s="300"/>
      <c r="R2" s="300"/>
      <c r="S2" s="300"/>
      <c r="T2" s="300"/>
      <c r="U2" s="300"/>
    </row>
    <row r="3" spans="2:21" ht="16" customHeight="1">
      <c r="E3" s="282" t="s">
        <v>23</v>
      </c>
      <c r="F3" s="282"/>
      <c r="G3" s="282"/>
      <c r="H3" s="282"/>
      <c r="I3" s="282"/>
      <c r="J3" s="282"/>
      <c r="K3" s="282"/>
      <c r="L3" s="282"/>
      <c r="M3" s="282"/>
      <c r="N3" s="282"/>
      <c r="O3" s="282"/>
      <c r="P3" s="282"/>
      <c r="Q3" s="282"/>
    </row>
    <row r="4" spans="2:21" ht="16" customHeight="1">
      <c r="E4" s="282"/>
      <c r="F4" s="282"/>
      <c r="G4" s="282"/>
      <c r="H4" s="282"/>
      <c r="I4" s="282"/>
      <c r="J4" s="282"/>
      <c r="K4" s="282"/>
      <c r="L4" s="282"/>
      <c r="M4" s="282"/>
      <c r="N4" s="282"/>
      <c r="O4" s="282"/>
      <c r="P4" s="282"/>
      <c r="Q4" s="282"/>
    </row>
    <row r="5" spans="2:21" ht="16.5" customHeight="1">
      <c r="D5" s="5" t="s">
        <v>24</v>
      </c>
    </row>
    <row r="6" spans="2:21">
      <c r="D6" s="5" t="s">
        <v>25</v>
      </c>
    </row>
    <row r="7" spans="2:21" ht="21.65" customHeight="1">
      <c r="B7" s="296" t="s">
        <v>26</v>
      </c>
      <c r="C7" s="296"/>
      <c r="D7" s="296"/>
      <c r="E7" s="296"/>
      <c r="F7" s="296"/>
      <c r="G7" s="296"/>
      <c r="H7" s="296"/>
      <c r="I7" s="296"/>
      <c r="J7" s="296"/>
      <c r="K7" s="296"/>
      <c r="L7" s="296"/>
      <c r="M7" s="296"/>
      <c r="N7" s="296"/>
      <c r="O7" s="296"/>
      <c r="P7" s="296"/>
      <c r="Q7" s="296"/>
      <c r="R7" s="296"/>
      <c r="S7" s="296"/>
      <c r="T7" s="296"/>
      <c r="U7" s="296"/>
    </row>
    <row r="8" spans="2:21" s="2" customFormat="1" ht="18.649999999999999" customHeight="1">
      <c r="B8" s="6" t="s">
        <v>27</v>
      </c>
      <c r="C8" s="6"/>
      <c r="D8" s="7"/>
      <c r="E8" s="7"/>
      <c r="F8" s="8" t="s">
        <v>28</v>
      </c>
      <c r="G8" s="301">
        <f>Load!J17</f>
        <v>46218</v>
      </c>
      <c r="H8" s="301"/>
      <c r="I8" s="301"/>
      <c r="J8" s="301"/>
      <c r="K8" s="7"/>
      <c r="L8" s="7"/>
      <c r="M8" s="7"/>
      <c r="N8" s="7"/>
      <c r="O8" s="7"/>
      <c r="P8" s="302" t="s">
        <v>29</v>
      </c>
      <c r="Q8" s="302"/>
      <c r="R8" s="302"/>
      <c r="S8" s="303">
        <v>160</v>
      </c>
      <c r="T8" s="303"/>
      <c r="U8" s="7"/>
    </row>
    <row r="9" spans="2:21">
      <c r="B9" s="9" t="s">
        <v>3</v>
      </c>
      <c r="C9" s="9"/>
      <c r="D9" s="10"/>
      <c r="E9" s="10"/>
      <c r="F9" s="11" t="s">
        <v>28</v>
      </c>
      <c r="G9" s="298">
        <f>Load!K19</f>
        <v>0.50232638888888892</v>
      </c>
      <c r="H9" s="298"/>
      <c r="I9" s="298"/>
      <c r="J9" s="298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</row>
    <row r="10" spans="2:21">
      <c r="B10" s="9" t="s">
        <v>31</v>
      </c>
      <c r="C10" s="9"/>
      <c r="D10" s="10"/>
      <c r="E10" s="10"/>
      <c r="F10" s="11" t="s">
        <v>28</v>
      </c>
      <c r="G10" s="298">
        <f>Load!K21</f>
        <v>0.51138888888888889</v>
      </c>
      <c r="H10" s="298"/>
      <c r="I10" s="298"/>
      <c r="J10" s="298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</row>
    <row r="11" spans="2:21" s="2" customFormat="1" ht="20.149999999999999" customHeight="1">
      <c r="B11" s="7"/>
      <c r="C11" s="6" t="s">
        <v>0</v>
      </c>
      <c r="D11" s="7"/>
      <c r="E11" s="7"/>
      <c r="F11" s="7"/>
      <c r="G11" s="7"/>
      <c r="H11" s="7"/>
      <c r="I11" s="6" t="s">
        <v>28</v>
      </c>
      <c r="J11" s="299">
        <f>Load!AN26</f>
        <v>8338</v>
      </c>
      <c r="K11" s="299"/>
      <c r="L11" s="7"/>
      <c r="M11" s="7"/>
      <c r="N11" s="7"/>
      <c r="O11" s="7"/>
      <c r="P11" s="6" t="s">
        <v>1</v>
      </c>
      <c r="Q11" s="7"/>
      <c r="R11" s="7"/>
      <c r="S11" s="6" t="s">
        <v>28</v>
      </c>
      <c r="T11" s="29">
        <f>Load!BN26</f>
        <v>45</v>
      </c>
      <c r="U11" s="30" t="s">
        <v>32</v>
      </c>
    </row>
    <row r="12" spans="2:21" ht="16" customHeight="1">
      <c r="B12" s="10"/>
      <c r="C12" s="9" t="s">
        <v>5</v>
      </c>
      <c r="D12" s="10"/>
      <c r="E12" s="10"/>
      <c r="F12" s="10"/>
      <c r="G12" s="10"/>
      <c r="H12" s="10"/>
      <c r="I12" s="6" t="s">
        <v>28</v>
      </c>
      <c r="J12" s="10" t="str">
        <f>Load!M26</f>
        <v>JHEERNNODHARA SAMITHI ANANTHAPURAM</v>
      </c>
      <c r="K12" s="10"/>
      <c r="L12" s="10"/>
      <c r="M12" s="10"/>
      <c r="N12" s="10"/>
      <c r="O12" s="10"/>
      <c r="P12" s="9" t="s">
        <v>2</v>
      </c>
      <c r="Q12" s="10"/>
      <c r="R12" s="10"/>
      <c r="S12" s="6" t="s">
        <v>28</v>
      </c>
      <c r="T12" s="29">
        <f>Load!AO29</f>
        <v>10</v>
      </c>
      <c r="U12" s="30" t="s">
        <v>32</v>
      </c>
    </row>
    <row r="13" spans="2:21" ht="16" customHeight="1">
      <c r="B13" s="10"/>
      <c r="C13" s="9" t="s">
        <v>7</v>
      </c>
      <c r="D13" s="10"/>
      <c r="E13" s="10"/>
      <c r="F13" s="10"/>
      <c r="G13" s="10"/>
      <c r="H13" s="10"/>
      <c r="I13" s="6" t="s">
        <v>28</v>
      </c>
      <c r="J13" s="10" t="str">
        <f>Load!M34</f>
        <v>BOVIKANAM</v>
      </c>
      <c r="O13" s="10"/>
      <c r="P13" s="9" t="s">
        <v>4</v>
      </c>
      <c r="Q13" s="10"/>
      <c r="R13" s="10"/>
      <c r="S13" s="6" t="s">
        <v>28</v>
      </c>
      <c r="T13" s="29">
        <v>0</v>
      </c>
      <c r="U13" s="30" t="s">
        <v>32</v>
      </c>
    </row>
    <row r="14" spans="2:21" ht="16" customHeight="1">
      <c r="B14" s="10"/>
      <c r="C14" s="9" t="s">
        <v>9</v>
      </c>
      <c r="D14" s="10"/>
      <c r="E14" s="10"/>
      <c r="F14" s="10"/>
      <c r="G14" s="10"/>
      <c r="H14" s="10"/>
      <c r="I14" s="6" t="s">
        <v>28</v>
      </c>
      <c r="J14" s="10" t="str">
        <f>Load!M29</f>
        <v>M 40 A</v>
      </c>
      <c r="K14" s="10"/>
      <c r="L14" s="10"/>
      <c r="M14" s="10"/>
      <c r="N14" s="10"/>
      <c r="O14" s="10"/>
      <c r="P14" s="9" t="s">
        <v>6</v>
      </c>
      <c r="Q14" s="10"/>
      <c r="R14" s="10"/>
      <c r="S14" s="6" t="s">
        <v>28</v>
      </c>
      <c r="T14" s="29">
        <f>Load!BE26</f>
        <v>31</v>
      </c>
      <c r="U14" s="30" t="s">
        <v>32</v>
      </c>
    </row>
    <row r="15" spans="2:21" ht="16" customHeight="1">
      <c r="B15" s="10"/>
      <c r="C15" s="9" t="s">
        <v>10</v>
      </c>
      <c r="D15" s="10"/>
      <c r="E15" s="10"/>
      <c r="F15" s="10"/>
      <c r="G15" s="10"/>
      <c r="H15" s="10"/>
      <c r="I15" s="6" t="s">
        <v>28</v>
      </c>
      <c r="J15" s="10">
        <f>Load!M32</f>
        <v>0</v>
      </c>
      <c r="K15" s="10"/>
      <c r="L15" s="10"/>
      <c r="M15" s="10"/>
      <c r="N15" s="10"/>
      <c r="O15" s="10"/>
      <c r="P15" s="9" t="s">
        <v>33</v>
      </c>
      <c r="Q15" s="10"/>
      <c r="R15" s="10"/>
      <c r="S15" s="6" t="s">
        <v>28</v>
      </c>
      <c r="T15" s="29">
        <v>1</v>
      </c>
      <c r="U15" s="30" t="s">
        <v>32</v>
      </c>
    </row>
    <row r="16" spans="2:21" ht="16" customHeight="1">
      <c r="B16" s="10"/>
      <c r="C16" s="9" t="s">
        <v>12</v>
      </c>
      <c r="D16" s="10"/>
      <c r="E16" s="10"/>
      <c r="F16" s="10"/>
      <c r="G16" s="10"/>
      <c r="H16" s="10"/>
      <c r="I16" s="6" t="s">
        <v>28</v>
      </c>
      <c r="J16" s="10" t="str">
        <f>Load!BG29</f>
        <v>KL14 AF 2789</v>
      </c>
      <c r="K16" s="10"/>
      <c r="L16" s="10"/>
      <c r="M16" s="10"/>
      <c r="N16" s="10"/>
      <c r="O16" s="10"/>
      <c r="P16" s="9" t="s">
        <v>34</v>
      </c>
      <c r="Q16" s="10"/>
      <c r="R16" s="10"/>
      <c r="S16" s="6" t="s">
        <v>28</v>
      </c>
      <c r="T16" s="29">
        <f>T12/5</f>
        <v>2</v>
      </c>
      <c r="U16" s="30" t="s">
        <v>32</v>
      </c>
    </row>
    <row r="17" spans="2:22" ht="16" customHeight="1">
      <c r="B17" s="10"/>
      <c r="C17" s="9" t="s">
        <v>11</v>
      </c>
      <c r="D17" s="10"/>
      <c r="E17" s="10"/>
      <c r="F17" s="10"/>
      <c r="G17" s="10"/>
      <c r="H17" s="10"/>
      <c r="I17" s="6" t="s">
        <v>28</v>
      </c>
      <c r="J17" s="10">
        <f>Load!AZ32</f>
        <v>0</v>
      </c>
      <c r="K17" s="10"/>
      <c r="L17" s="10"/>
      <c r="M17" s="10"/>
      <c r="N17" s="10"/>
      <c r="O17" s="10"/>
      <c r="P17" s="9" t="s">
        <v>35</v>
      </c>
      <c r="Q17" s="10"/>
      <c r="R17" s="10"/>
      <c r="S17" s="10"/>
      <c r="T17" s="10">
        <v>0</v>
      </c>
      <c r="U17" s="31" t="s">
        <v>36</v>
      </c>
    </row>
    <row r="18" spans="2:22">
      <c r="C18" s="9" t="s">
        <v>8</v>
      </c>
      <c r="D18" s="10"/>
      <c r="E18" s="10"/>
      <c r="F18" s="10"/>
      <c r="G18" s="10"/>
      <c r="H18" s="10"/>
      <c r="I18" s="6" t="s">
        <v>28</v>
      </c>
      <c r="J18" s="10">
        <f>Load!AZ34</f>
        <v>0</v>
      </c>
      <c r="K18" s="10"/>
      <c r="L18" s="10"/>
      <c r="M18" s="10"/>
      <c r="N18" s="10"/>
      <c r="O18" s="10"/>
    </row>
    <row r="19" spans="2:22">
      <c r="C19" s="9" t="s">
        <v>37</v>
      </c>
      <c r="D19" s="10"/>
      <c r="E19" s="10"/>
      <c r="F19" s="10"/>
      <c r="G19" s="10"/>
      <c r="H19" s="10"/>
      <c r="I19" s="6" t="s">
        <v>28</v>
      </c>
      <c r="J19" s="10" t="s">
        <v>25</v>
      </c>
      <c r="K19" s="10"/>
      <c r="L19" s="10"/>
      <c r="M19" s="10"/>
      <c r="N19" s="10"/>
      <c r="O19" s="10"/>
    </row>
    <row r="20" spans="2:22" ht="22" customHeight="1">
      <c r="B20" s="296" t="s">
        <v>38</v>
      </c>
      <c r="C20" s="296"/>
      <c r="D20" s="296"/>
      <c r="E20" s="296"/>
      <c r="F20" s="296"/>
      <c r="G20" s="296"/>
      <c r="H20" s="296"/>
      <c r="I20" s="296"/>
      <c r="J20" s="296"/>
      <c r="K20" s="296" t="s">
        <v>39</v>
      </c>
      <c r="L20" s="296"/>
      <c r="M20" s="296"/>
      <c r="N20" s="296" t="s">
        <v>40</v>
      </c>
      <c r="O20" s="296"/>
      <c r="P20" s="296"/>
      <c r="Q20" s="32" t="s">
        <v>41</v>
      </c>
      <c r="R20" s="296" t="s">
        <v>42</v>
      </c>
      <c r="S20" s="296"/>
      <c r="T20" s="296"/>
      <c r="U20" s="296"/>
    </row>
    <row r="21" spans="2:22" ht="14.5" customHeight="1">
      <c r="B21" s="297" t="str">
        <f>Load!W45</f>
        <v>M SAND</v>
      </c>
      <c r="C21" s="297"/>
      <c r="D21" s="12" t="str">
        <f>Load!AA45</f>
        <v xml:space="preserve">M SAND </v>
      </c>
      <c r="E21" s="293" t="str">
        <f>Load!AE45</f>
        <v>12 MM</v>
      </c>
      <c r="F21" s="293"/>
      <c r="G21" s="293"/>
      <c r="H21" s="14" t="str">
        <f>Load!AG45</f>
        <v>20 MM</v>
      </c>
      <c r="I21" s="293" t="str">
        <f>Load!AJ45</f>
        <v>0</v>
      </c>
      <c r="J21" s="293"/>
      <c r="K21" s="13" t="str">
        <f>Load!AL45</f>
        <v>CEM 1</v>
      </c>
      <c r="L21" s="13" t="str">
        <f>Load!AP45</f>
        <v>CEM 2</v>
      </c>
      <c r="M21" s="13" t="str">
        <f>Load!AR45</f>
        <v>CEM 3</v>
      </c>
      <c r="O21" s="293" t="str">
        <f>Load!BC45</f>
        <v>WATER</v>
      </c>
      <c r="P21" s="293"/>
      <c r="Q21" s="5" t="s">
        <v>43</v>
      </c>
      <c r="R21" s="297" t="str">
        <f>Load!AV45</f>
        <v>ADMIX1</v>
      </c>
      <c r="S21" s="297"/>
      <c r="T21" s="297" t="str">
        <f>Load!AY45</f>
        <v>ADMIX2</v>
      </c>
      <c r="U21" s="297"/>
    </row>
    <row r="22" spans="2:22">
      <c r="B22" s="10" t="s">
        <v>44</v>
      </c>
    </row>
    <row r="23" spans="2:22" s="2" customFormat="1" ht="20.5" customHeight="1">
      <c r="B23" s="294">
        <f>Load!W46</f>
        <v>0</v>
      </c>
      <c r="C23" s="294"/>
      <c r="D23" s="15">
        <f>Load!AA46</f>
        <v>743</v>
      </c>
      <c r="E23" s="295">
        <f>Load!AE46</f>
        <v>435</v>
      </c>
      <c r="F23" s="295"/>
      <c r="G23" s="295"/>
      <c r="H23" s="15">
        <f>Load!AG46</f>
        <v>681</v>
      </c>
      <c r="I23" s="295"/>
      <c r="J23" s="295"/>
      <c r="K23" s="27">
        <f>Load!AL46</f>
        <v>340</v>
      </c>
      <c r="L23" s="27">
        <f>Load!AP46</f>
        <v>0</v>
      </c>
      <c r="M23" s="27">
        <f>Load!AR46</f>
        <v>100</v>
      </c>
      <c r="N23" s="27">
        <v>0</v>
      </c>
      <c r="O23" s="294">
        <f>Load!BC46</f>
        <v>154</v>
      </c>
      <c r="P23" s="294"/>
      <c r="Q23" s="33">
        <v>0</v>
      </c>
      <c r="R23" s="292">
        <f>Load!AV46</f>
        <v>2.6</v>
      </c>
      <c r="S23" s="292"/>
      <c r="T23" s="292">
        <f>Load!AY46</f>
        <v>0</v>
      </c>
      <c r="U23" s="292"/>
    </row>
    <row r="24" spans="2:22" ht="20.149999999999999" customHeight="1">
      <c r="B24" s="5" t="s">
        <v>45</v>
      </c>
    </row>
    <row r="25" spans="2:22">
      <c r="B25" s="280">
        <f>Load!W47</f>
        <v>0</v>
      </c>
      <c r="C25" s="280"/>
      <c r="D25" s="17">
        <f>Load!AA47</f>
        <v>2</v>
      </c>
      <c r="E25" s="280">
        <f>Load!AE47</f>
        <v>1</v>
      </c>
      <c r="F25" s="280"/>
      <c r="G25" s="280"/>
      <c r="H25" s="18">
        <f>Load!AG47</f>
        <v>1</v>
      </c>
      <c r="I25" s="280">
        <v>0</v>
      </c>
      <c r="J25" s="280"/>
      <c r="K25" s="14"/>
      <c r="L25" s="14"/>
      <c r="M25" s="14"/>
      <c r="N25" s="14"/>
      <c r="O25" s="293">
        <v>0</v>
      </c>
      <c r="P25" s="293"/>
      <c r="Q25" s="14"/>
      <c r="R25" s="14"/>
      <c r="S25" s="14"/>
      <c r="T25" s="14"/>
      <c r="U25" s="14"/>
    </row>
    <row r="26" spans="2:22">
      <c r="B26" s="280">
        <f>Load!W48</f>
        <v>0</v>
      </c>
      <c r="C26" s="280"/>
      <c r="D26" s="124">
        <f>Load!AA48</f>
        <v>4.5</v>
      </c>
      <c r="E26" s="280">
        <f>Load!AE48</f>
        <v>0</v>
      </c>
      <c r="F26" s="280"/>
      <c r="G26" s="280"/>
      <c r="H26" s="16">
        <f>Load!AG48</f>
        <v>0</v>
      </c>
      <c r="I26" s="280">
        <v>0</v>
      </c>
      <c r="J26" s="280"/>
      <c r="K26" s="14"/>
      <c r="L26" s="14"/>
      <c r="M26" s="14"/>
      <c r="N26" s="13" t="s">
        <v>46</v>
      </c>
      <c r="O26" s="279">
        <v>0</v>
      </c>
      <c r="P26" s="279"/>
      <c r="Q26" s="14"/>
      <c r="R26" s="14"/>
      <c r="S26" s="14"/>
      <c r="T26" s="14"/>
      <c r="U26" s="14"/>
    </row>
    <row r="27" spans="2:22">
      <c r="B27" s="286">
        <f>(((B26-B25)*(B23*T16))/100)+(((B26-B25)*(((B26-B25)*(B23*T16))/100))/100)+(B23*T16)</f>
        <v>0</v>
      </c>
      <c r="C27" s="286">
        <f t="shared" ref="C27" si="0">(((C26-C25)*C23)/100)+(((C26-C25)*(((C26-C25)*C23)/100))/100)+C23</f>
        <v>0</v>
      </c>
      <c r="D27" s="20">
        <f>(((D26-D25)*(D23*T16))/100)+(((D26-D25)*(((D26-D25)*(D23*T16))/100))/100)+(D23*T16)</f>
        <v>1524.0787499999999</v>
      </c>
      <c r="E27" s="286">
        <f>(((E26-E25)*(E23*T16))/100)+(((E26-E25)*(((E26-E25)*(T16*E23))/100))/100)+(T16*E23)</f>
        <v>861.38699999999994</v>
      </c>
      <c r="F27" s="286">
        <f t="shared" ref="F27:G27" si="1">(((F26-F25)*F23)/100)+(((F26-F25)*(((F26-F25)*F23)/100))/100)+F23</f>
        <v>0</v>
      </c>
      <c r="G27" s="286">
        <f t="shared" si="1"/>
        <v>0</v>
      </c>
      <c r="H27" s="21">
        <f>(((H26-H25)*(T16*H23))/100)+(((H26-H25)*(((H26-H25)*(T16*H23))/100))/100)+(T16*H23)</f>
        <v>1348.5162</v>
      </c>
      <c r="I27" s="286">
        <f>(((I26-I25)*(T16*I23))/100)+(((I26-I25)*(((I26-I25)*(T16*I23))/100))/100)+(T16*I23)</f>
        <v>0</v>
      </c>
      <c r="J27" s="286">
        <f t="shared" ref="J27" si="2">(((J26-J25)*J23)/100)+(((J26-J25)*(((J26-J25)*J23)/100))/100)+J23</f>
        <v>0</v>
      </c>
      <c r="K27" s="21">
        <f>K23*T16</f>
        <v>680</v>
      </c>
      <c r="L27" s="21">
        <f>L23*T16</f>
        <v>0</v>
      </c>
      <c r="M27" s="21">
        <f>M23*T16</f>
        <v>200</v>
      </c>
      <c r="N27" s="25">
        <v>0</v>
      </c>
      <c r="O27" s="291">
        <f>(T16*O23)-(((B27*B26/100)-(B27*B25/100))+((D27*D26/100)-(D27*D25/100))+((E27*E26/100)-(E27*E25/100))+((H27*H26/100)-(H27*H25/100)))</f>
        <v>291.99706325</v>
      </c>
      <c r="P27" s="291"/>
      <c r="Q27" s="34">
        <v>0</v>
      </c>
      <c r="R27" s="280">
        <f>R23*T16</f>
        <v>5.2</v>
      </c>
      <c r="S27" s="280"/>
      <c r="T27" s="289">
        <f>T23*T16</f>
        <v>0</v>
      </c>
      <c r="U27" s="289"/>
    </row>
    <row r="28" spans="2:22">
      <c r="B28" s="286">
        <f ca="1">$B$27+($B$27*1*(0.5-RAND()))/100</f>
        <v>0</v>
      </c>
      <c r="C28" s="286"/>
      <c r="D28" s="21">
        <f ca="1">$D$27+($D$27*1*(0.5-RAND()))/100</f>
        <v>1525.6787971754177</v>
      </c>
      <c r="E28" s="286">
        <f ca="1">$E$27+($E$27*1*(0.5-RAND()))/100</f>
        <v>862.32195272720003</v>
      </c>
      <c r="F28" s="286"/>
      <c r="G28" s="286"/>
      <c r="H28" s="21">
        <f ca="1">$H$27+($H$27*1*(0.5-RAND()))/100</f>
        <v>1349.0374109020684</v>
      </c>
      <c r="I28" s="286">
        <f ca="1">$I$27+($I$27*1*(0.5-RAND()))/100</f>
        <v>0</v>
      </c>
      <c r="J28" s="286"/>
      <c r="K28" s="21">
        <f ca="1">$K$27+($K$27*2*(0.5-RAND()))/100</f>
        <v>677.68690446566973</v>
      </c>
      <c r="L28" s="21">
        <f ca="1">$L$27+($L$27*2*(0.5-RAND()))/100</f>
        <v>0</v>
      </c>
      <c r="M28" s="21">
        <f ca="1">$M$27+($M$27*2*(0.5-RAND()))/100</f>
        <v>201.63971733996689</v>
      </c>
      <c r="N28" s="25">
        <f ca="1">N27+(N27*1*(0.5-RAND()))/100</f>
        <v>0</v>
      </c>
      <c r="O28" s="286">
        <f ca="1">$O$27+($O$27*(Load!$BM$46+Load!$BO$46*RAND()))/100</f>
        <v>286.38575708260436</v>
      </c>
      <c r="P28" s="286"/>
      <c r="Q28" s="34">
        <v>0</v>
      </c>
      <c r="R28" s="280">
        <f ca="1">$R$27+($R$27*2*(0.5-RAND()))/100</f>
        <v>5.1818435175076329</v>
      </c>
      <c r="S28" s="280"/>
      <c r="T28" s="290">
        <v>0</v>
      </c>
      <c r="U28" s="290"/>
    </row>
    <row r="29" spans="2:22">
      <c r="B29" s="280">
        <f>$B$25</f>
        <v>0</v>
      </c>
      <c r="C29" s="280"/>
      <c r="D29" s="17">
        <f>$D$25</f>
        <v>2</v>
      </c>
      <c r="E29" s="280">
        <f>$E$25</f>
        <v>1</v>
      </c>
      <c r="F29" s="280"/>
      <c r="G29" s="280"/>
      <c r="H29" s="18">
        <f>$H$25</f>
        <v>1</v>
      </c>
      <c r="I29" s="280">
        <v>0</v>
      </c>
      <c r="J29" s="280"/>
      <c r="K29" s="14"/>
      <c r="L29" s="14"/>
      <c r="M29" s="14"/>
      <c r="N29" s="14"/>
      <c r="O29" s="293">
        <v>0</v>
      </c>
      <c r="P29" s="293"/>
      <c r="Q29" s="14"/>
      <c r="R29" s="14"/>
      <c r="S29" s="14"/>
      <c r="T29" s="14"/>
      <c r="U29" s="14"/>
    </row>
    <row r="30" spans="2:22">
      <c r="B30" s="280">
        <f>$B$26</f>
        <v>0</v>
      </c>
      <c r="C30" s="280"/>
      <c r="D30" s="124">
        <f>$D$26</f>
        <v>4.5</v>
      </c>
      <c r="E30" s="280">
        <f>$E$26</f>
        <v>0</v>
      </c>
      <c r="F30" s="280"/>
      <c r="G30" s="280"/>
      <c r="H30" s="16">
        <f>$H$26</f>
        <v>0</v>
      </c>
      <c r="I30" s="280">
        <v>0</v>
      </c>
      <c r="J30" s="280"/>
      <c r="K30" s="14"/>
      <c r="L30" s="14"/>
      <c r="M30" s="14"/>
      <c r="N30" s="13" t="s">
        <v>46</v>
      </c>
      <c r="O30" s="279">
        <v>0</v>
      </c>
      <c r="P30" s="279"/>
      <c r="Q30" s="14"/>
      <c r="R30" s="14"/>
      <c r="S30" s="14"/>
      <c r="T30" s="14"/>
      <c r="U30" s="14"/>
    </row>
    <row r="31" spans="2:22" s="3" customFormat="1">
      <c r="B31" s="286">
        <f>ROUND($B$27,0)</f>
        <v>0</v>
      </c>
      <c r="C31" s="286"/>
      <c r="D31" s="21">
        <f>ROUND(($D$27),0)</f>
        <v>1524</v>
      </c>
      <c r="E31" s="286">
        <f>ROUND($E$27,0)</f>
        <v>861</v>
      </c>
      <c r="F31" s="286">
        <f t="shared" ref="F31:U31" si="3">F$27</f>
        <v>0</v>
      </c>
      <c r="G31" s="286">
        <f t="shared" si="3"/>
        <v>0</v>
      </c>
      <c r="H31" s="21">
        <f>ROUND($H$27,0)</f>
        <v>1349</v>
      </c>
      <c r="I31" s="286">
        <f>$I$27</f>
        <v>0</v>
      </c>
      <c r="J31" s="286">
        <f t="shared" si="3"/>
        <v>0</v>
      </c>
      <c r="K31" s="21">
        <f>$K$27</f>
        <v>680</v>
      </c>
      <c r="L31" s="21">
        <f>$L$27</f>
        <v>0</v>
      </c>
      <c r="M31" s="21">
        <f>$M$27</f>
        <v>200</v>
      </c>
      <c r="N31" s="25">
        <f>$N$27</f>
        <v>0</v>
      </c>
      <c r="O31" s="286">
        <f>$O$27</f>
        <v>291.99706325</v>
      </c>
      <c r="P31" s="286">
        <f t="shared" si="3"/>
        <v>0</v>
      </c>
      <c r="Q31" s="34">
        <f>$Q$27</f>
        <v>0</v>
      </c>
      <c r="R31" s="280">
        <f>$R$27</f>
        <v>5.2</v>
      </c>
      <c r="S31" s="280">
        <f t="shared" si="3"/>
        <v>0</v>
      </c>
      <c r="T31" s="289">
        <f>$T$27</f>
        <v>0</v>
      </c>
      <c r="U31" s="289">
        <f t="shared" si="3"/>
        <v>0</v>
      </c>
      <c r="V31" s="5"/>
    </row>
    <row r="32" spans="2:22" s="3" customFormat="1">
      <c r="B32" s="286">
        <f ca="1">$B$27+($B$27*1*(0.5-RAND()))/100</f>
        <v>0</v>
      </c>
      <c r="C32" s="286"/>
      <c r="D32" s="21">
        <f ca="1">$D$27+($D$27*1*(0.5-RAND()))/100</f>
        <v>1528.2809887513838</v>
      </c>
      <c r="E32" s="286">
        <f ca="1">$E$27+($E$27*1*(0.5-RAND()))/100</f>
        <v>863.61911271862812</v>
      </c>
      <c r="F32" s="286"/>
      <c r="G32" s="286"/>
      <c r="H32" s="21">
        <f ca="1">$H$27+($H$27*1*(0.5-RAND()))/100</f>
        <v>1349.9965601017902</v>
      </c>
      <c r="I32" s="286">
        <f ca="1">$I$27+($I$27*1*(0.5-RAND()))/100</f>
        <v>0</v>
      </c>
      <c r="J32" s="286"/>
      <c r="K32" s="21">
        <f ca="1">$K$27+($K$27*2*(0.5-RAND()))/100</f>
        <v>675.09149339334908</v>
      </c>
      <c r="L32" s="21">
        <f ca="1">$L$27+($L$27*2*(0.5-RAND()))/100</f>
        <v>0</v>
      </c>
      <c r="M32" s="21">
        <f ca="1">$M$27+($M$27*2*(0.5-RAND()))/100</f>
        <v>200.49395781254213</v>
      </c>
      <c r="N32" s="25">
        <v>0</v>
      </c>
      <c r="O32" s="286">
        <f ca="1">$O$27+($O$27*(Load!$BM$46+Load!$BO$46*RAND()))/100</f>
        <v>294.94147195752896</v>
      </c>
      <c r="P32" s="286"/>
      <c r="Q32" s="16">
        <v>0</v>
      </c>
      <c r="R32" s="280">
        <f ca="1">$R$27+($R$27*2*(0.5-RAND()))/100</f>
        <v>5.1601373636261654</v>
      </c>
      <c r="S32" s="280"/>
      <c r="T32" s="290">
        <v>0</v>
      </c>
      <c r="U32" s="290"/>
      <c r="V32" s="5"/>
    </row>
    <row r="33" spans="2:22" s="3" customFormat="1">
      <c r="B33" s="280">
        <f>$B$25</f>
        <v>0</v>
      </c>
      <c r="C33" s="280"/>
      <c r="D33" s="17">
        <f>$D$25</f>
        <v>2</v>
      </c>
      <c r="E33" s="280">
        <f>$E$25</f>
        <v>1</v>
      </c>
      <c r="F33" s="280"/>
      <c r="G33" s="280"/>
      <c r="H33" s="18">
        <f>$H$25</f>
        <v>1</v>
      </c>
      <c r="I33" s="280">
        <v>0</v>
      </c>
      <c r="J33" s="280"/>
      <c r="K33" s="14"/>
      <c r="L33" s="14"/>
      <c r="M33" s="14"/>
      <c r="N33" s="14"/>
      <c r="O33" s="293">
        <v>0</v>
      </c>
      <c r="P33" s="293"/>
      <c r="Q33" s="14"/>
      <c r="R33" s="14"/>
      <c r="S33" s="14"/>
      <c r="T33" s="14"/>
      <c r="U33" s="14"/>
      <c r="V33" s="5"/>
    </row>
    <row r="34" spans="2:22" s="3" customFormat="1">
      <c r="B34" s="280">
        <f>$B$26</f>
        <v>0</v>
      </c>
      <c r="C34" s="280"/>
      <c r="D34" s="124">
        <f>$D$26</f>
        <v>4.5</v>
      </c>
      <c r="E34" s="280">
        <f>$E$26</f>
        <v>0</v>
      </c>
      <c r="F34" s="280"/>
      <c r="G34" s="280"/>
      <c r="H34" s="16">
        <f>$H$26</f>
        <v>0</v>
      </c>
      <c r="I34" s="280">
        <v>0</v>
      </c>
      <c r="J34" s="280"/>
      <c r="K34" s="14"/>
      <c r="L34" s="14"/>
      <c r="M34" s="14"/>
      <c r="N34" s="13" t="s">
        <v>46</v>
      </c>
      <c r="O34" s="279">
        <v>0</v>
      </c>
      <c r="P34" s="279"/>
      <c r="Q34" s="14"/>
      <c r="R34" s="14"/>
      <c r="S34" s="14"/>
      <c r="T34" s="14"/>
      <c r="U34" s="14"/>
      <c r="V34" s="5"/>
    </row>
    <row r="35" spans="2:22" s="3" customFormat="1">
      <c r="B35" s="286">
        <f>ROUND($B$27,0)</f>
        <v>0</v>
      </c>
      <c r="C35" s="286"/>
      <c r="D35" s="21">
        <f>ROUND(($D$27),0)</f>
        <v>1524</v>
      </c>
      <c r="E35" s="286">
        <f>ROUND($E$27,0)</f>
        <v>861</v>
      </c>
      <c r="F35" s="286">
        <f t="shared" ref="F35:G35" si="4">F$27</f>
        <v>0</v>
      </c>
      <c r="G35" s="286">
        <f t="shared" si="4"/>
        <v>0</v>
      </c>
      <c r="H35" s="21">
        <f>ROUND($H$27,0)</f>
        <v>1349</v>
      </c>
      <c r="I35" s="286">
        <f>$I$27</f>
        <v>0</v>
      </c>
      <c r="J35" s="286">
        <f t="shared" ref="J35" si="5">J$27</f>
        <v>0</v>
      </c>
      <c r="K35" s="21">
        <f>$K$27</f>
        <v>680</v>
      </c>
      <c r="L35" s="21">
        <f>$L$27</f>
        <v>0</v>
      </c>
      <c r="M35" s="21">
        <f>$M$27</f>
        <v>200</v>
      </c>
      <c r="N35" s="25">
        <f>$N$27</f>
        <v>0</v>
      </c>
      <c r="O35" s="286">
        <f>$O$27</f>
        <v>291.99706325</v>
      </c>
      <c r="P35" s="286">
        <f t="shared" ref="P35" si="6">P$27</f>
        <v>0</v>
      </c>
      <c r="Q35" s="16">
        <f>$Q$27</f>
        <v>0</v>
      </c>
      <c r="R35" s="280">
        <f>$R$27</f>
        <v>5.2</v>
      </c>
      <c r="S35" s="280">
        <f t="shared" ref="S35" si="7">S$27</f>
        <v>0</v>
      </c>
      <c r="T35" s="289">
        <f>$T$27</f>
        <v>0</v>
      </c>
      <c r="U35" s="289">
        <f t="shared" ref="U35" si="8">U$27</f>
        <v>0</v>
      </c>
      <c r="V35" s="5"/>
    </row>
    <row r="36" spans="2:22" s="3" customFormat="1">
      <c r="B36" s="286">
        <f ca="1">$B$27+($B$27*1*(0.5-RAND()))/100</f>
        <v>0</v>
      </c>
      <c r="C36" s="286"/>
      <c r="D36" s="21">
        <f ca="1">$D$27+($D$27*1*(0.5-RAND()))/100</f>
        <v>1522.1120430938392</v>
      </c>
      <c r="E36" s="286">
        <f ca="1">$E$27+($E$27*1*(0.5-RAND()))/100</f>
        <v>861.39742462818026</v>
      </c>
      <c r="F36" s="286"/>
      <c r="G36" s="286"/>
      <c r="H36" s="21">
        <f ca="1">$H$27+($H$27*1*(0.5-RAND()))/100</f>
        <v>1353.1139075753715</v>
      </c>
      <c r="I36" s="286">
        <f ca="1">$I$27+($I$27*1*(0.5-RAND()))/100</f>
        <v>0</v>
      </c>
      <c r="J36" s="286"/>
      <c r="K36" s="21">
        <f ca="1">$K$27+($K$27*2*(0.5-RAND()))/100</f>
        <v>676.45772243502074</v>
      </c>
      <c r="L36" s="21">
        <f ca="1">$L$27+($L$27*2*(0.5-RAND()))/100</f>
        <v>0</v>
      </c>
      <c r="M36" s="21">
        <f ca="1">$M$27+($M$27*2*(0.5-RAND()))/100</f>
        <v>200.91351187517333</v>
      </c>
      <c r="N36" s="25">
        <v>0</v>
      </c>
      <c r="O36" s="286">
        <f ca="1">$O$27+($O$27*(Load!$BM$46+Load!$BO$46*RAND()))/100</f>
        <v>295.15920480446692</v>
      </c>
      <c r="P36" s="286"/>
      <c r="Q36" s="16">
        <v>0</v>
      </c>
      <c r="R36" s="280">
        <f ca="1">$R$27+($R$27*2*(0.5-RAND()))/100</f>
        <v>5.1813793122248786</v>
      </c>
      <c r="S36" s="280"/>
      <c r="T36" s="290">
        <v>0</v>
      </c>
      <c r="U36" s="290"/>
      <c r="V36" s="5"/>
    </row>
    <row r="37" spans="2:22" s="3" customFormat="1">
      <c r="B37" s="280">
        <f>$B$25</f>
        <v>0</v>
      </c>
      <c r="C37" s="280"/>
      <c r="D37" s="17">
        <f>$D$25</f>
        <v>2</v>
      </c>
      <c r="E37" s="280">
        <f>$E$25</f>
        <v>1</v>
      </c>
      <c r="F37" s="280"/>
      <c r="G37" s="280"/>
      <c r="H37" s="18">
        <f>$H$25</f>
        <v>1</v>
      </c>
      <c r="I37" s="280">
        <v>0</v>
      </c>
      <c r="J37" s="280"/>
      <c r="K37" s="14"/>
      <c r="L37" s="14"/>
      <c r="M37" s="14"/>
      <c r="N37" s="14"/>
      <c r="O37" s="293">
        <v>0</v>
      </c>
      <c r="P37" s="293"/>
      <c r="Q37" s="14"/>
      <c r="R37" s="14"/>
      <c r="S37" s="14"/>
      <c r="T37" s="14"/>
      <c r="U37" s="14"/>
      <c r="V37" s="5"/>
    </row>
    <row r="38" spans="2:22" s="3" customFormat="1">
      <c r="B38" s="280">
        <f>$B$26</f>
        <v>0</v>
      </c>
      <c r="C38" s="280"/>
      <c r="D38" s="124">
        <f>$D$26</f>
        <v>4.5</v>
      </c>
      <c r="E38" s="280">
        <f>$E$26</f>
        <v>0</v>
      </c>
      <c r="F38" s="280"/>
      <c r="G38" s="280"/>
      <c r="H38" s="16">
        <f>$H$26</f>
        <v>0</v>
      </c>
      <c r="I38" s="280">
        <v>0</v>
      </c>
      <c r="J38" s="280"/>
      <c r="K38" s="14"/>
      <c r="L38" s="14"/>
      <c r="M38" s="14"/>
      <c r="N38" s="13" t="s">
        <v>46</v>
      </c>
      <c r="O38" s="279">
        <v>0</v>
      </c>
      <c r="P38" s="279"/>
      <c r="Q38" s="14"/>
      <c r="R38" s="14"/>
      <c r="S38" s="14"/>
      <c r="T38" s="14"/>
      <c r="U38" s="14"/>
      <c r="V38" s="5"/>
    </row>
    <row r="39" spans="2:22" s="3" customFormat="1">
      <c r="B39" s="286">
        <f>ROUND($B$27,0)</f>
        <v>0</v>
      </c>
      <c r="C39" s="286"/>
      <c r="D39" s="21">
        <f>ROUND(($D$27),0)</f>
        <v>1524</v>
      </c>
      <c r="E39" s="286">
        <f>ROUND($E$27,0)</f>
        <v>861</v>
      </c>
      <c r="F39" s="286">
        <f t="shared" ref="F39:G39" si="9">F$27</f>
        <v>0</v>
      </c>
      <c r="G39" s="286">
        <f t="shared" si="9"/>
        <v>0</v>
      </c>
      <c r="H39" s="21">
        <f>ROUND($H$27,0)</f>
        <v>1349</v>
      </c>
      <c r="I39" s="286">
        <f>$I$27</f>
        <v>0</v>
      </c>
      <c r="J39" s="286">
        <f t="shared" ref="J39" si="10">J$27</f>
        <v>0</v>
      </c>
      <c r="K39" s="21">
        <f>$K$27</f>
        <v>680</v>
      </c>
      <c r="L39" s="21">
        <f>$L$27</f>
        <v>0</v>
      </c>
      <c r="M39" s="21">
        <f>$M$27</f>
        <v>200</v>
      </c>
      <c r="N39" s="25">
        <f>$N$27</f>
        <v>0</v>
      </c>
      <c r="O39" s="286">
        <f>$O$27</f>
        <v>291.99706325</v>
      </c>
      <c r="P39" s="286">
        <f t="shared" ref="P39" si="11">P$27</f>
        <v>0</v>
      </c>
      <c r="Q39" s="16">
        <f>$Q$27</f>
        <v>0</v>
      </c>
      <c r="R39" s="280">
        <f>$R$27</f>
        <v>5.2</v>
      </c>
      <c r="S39" s="280">
        <f t="shared" ref="S39" si="12">S$27</f>
        <v>0</v>
      </c>
      <c r="T39" s="289">
        <f>$T$27</f>
        <v>0</v>
      </c>
      <c r="U39" s="289">
        <f t="shared" ref="U39" si="13">U$27</f>
        <v>0</v>
      </c>
      <c r="V39" s="5"/>
    </row>
    <row r="40" spans="2:22" s="3" customFormat="1">
      <c r="B40" s="286">
        <f ca="1">$B$27+($B$27*1*(0.5-RAND()))/100</f>
        <v>0</v>
      </c>
      <c r="C40" s="286"/>
      <c r="D40" s="21">
        <f ca="1">$D$27+($D$27*1*(0.5-RAND()))/100</f>
        <v>1520.1805819373758</v>
      </c>
      <c r="E40" s="286">
        <f ca="1">$E$27+($E$27*1*(0.5-RAND()))/100</f>
        <v>861.27049787475335</v>
      </c>
      <c r="F40" s="286"/>
      <c r="G40" s="286"/>
      <c r="H40" s="21">
        <f ca="1">$H$27+($H$27*1*(0.5-RAND()))/100</f>
        <v>1349.8016449033917</v>
      </c>
      <c r="I40" s="286">
        <f ca="1">$I$27+($I$27*1*(0.5-RAND()))/100</f>
        <v>0</v>
      </c>
      <c r="J40" s="286"/>
      <c r="K40" s="21">
        <f ca="1">$K$27+($K$27*2*(0.5-RAND()))/100</f>
        <v>677.52241593300278</v>
      </c>
      <c r="L40" s="21">
        <f ca="1">$L$27+($L$27*2*(0.5-RAND()))/100</f>
        <v>0</v>
      </c>
      <c r="M40" s="21">
        <f ca="1">$M$27+($M$27*2*(0.5-RAND()))/100</f>
        <v>199.64244865478727</v>
      </c>
      <c r="N40" s="25">
        <v>0</v>
      </c>
      <c r="O40" s="286">
        <f ca="1">$O$27+($O$27*(Load!$BM$46+Load!$BO$46*RAND()))/100</f>
        <v>286.75163664054293</v>
      </c>
      <c r="P40" s="286"/>
      <c r="Q40" s="16">
        <v>0</v>
      </c>
      <c r="R40" s="280">
        <f ca="1">$R$27+($R$27*2*(0.5-RAND()))/100</f>
        <v>5.1530343551969198</v>
      </c>
      <c r="S40" s="280"/>
      <c r="T40" s="290">
        <v>0</v>
      </c>
      <c r="U40" s="290"/>
      <c r="V40" s="5"/>
    </row>
    <row r="41" spans="2:22" s="3" customFormat="1">
      <c r="B41" s="280">
        <f>$B$25</f>
        <v>0</v>
      </c>
      <c r="C41" s="280"/>
      <c r="D41" s="17">
        <f>$D$25</f>
        <v>2</v>
      </c>
      <c r="E41" s="280">
        <f>$E$25</f>
        <v>1</v>
      </c>
      <c r="F41" s="280"/>
      <c r="G41" s="280"/>
      <c r="H41" s="18">
        <f>$H$25</f>
        <v>1</v>
      </c>
      <c r="I41" s="280">
        <v>0</v>
      </c>
      <c r="J41" s="280"/>
      <c r="K41" s="14"/>
      <c r="L41" s="14"/>
      <c r="M41" s="14"/>
      <c r="N41" s="14"/>
      <c r="O41" s="293">
        <v>0</v>
      </c>
      <c r="P41" s="293"/>
      <c r="Q41" s="14"/>
      <c r="R41" s="14"/>
      <c r="S41" s="14"/>
      <c r="T41" s="14"/>
      <c r="U41" s="14"/>
      <c r="V41" s="5"/>
    </row>
    <row r="42" spans="2:22" s="3" customFormat="1">
      <c r="B42" s="280">
        <f>$B$26</f>
        <v>0</v>
      </c>
      <c r="C42" s="280"/>
      <c r="D42" s="124">
        <f>$D$26</f>
        <v>4.5</v>
      </c>
      <c r="E42" s="280">
        <f>$E$26</f>
        <v>0</v>
      </c>
      <c r="F42" s="280"/>
      <c r="G42" s="280"/>
      <c r="H42" s="16">
        <f>$H$26</f>
        <v>0</v>
      </c>
      <c r="I42" s="280">
        <v>0</v>
      </c>
      <c r="J42" s="280"/>
      <c r="K42" s="14"/>
      <c r="L42" s="14"/>
      <c r="M42" s="14"/>
      <c r="N42" s="13" t="s">
        <v>46</v>
      </c>
      <c r="O42" s="279">
        <v>0</v>
      </c>
      <c r="P42" s="279"/>
      <c r="Q42" s="14"/>
      <c r="R42" s="14"/>
      <c r="S42" s="14"/>
      <c r="T42" s="14"/>
      <c r="U42" s="14"/>
      <c r="V42" s="5"/>
    </row>
    <row r="43" spans="2:22" s="3" customFormat="1">
      <c r="B43" s="286">
        <f>ROUND($B$27,0)</f>
        <v>0</v>
      </c>
      <c r="C43" s="286"/>
      <c r="D43" s="21">
        <f>ROUND(($D$27),0)</f>
        <v>1524</v>
      </c>
      <c r="E43" s="286">
        <f>ROUND($E$27,0)</f>
        <v>861</v>
      </c>
      <c r="F43" s="286">
        <f t="shared" ref="F43:G43" si="14">F$27</f>
        <v>0</v>
      </c>
      <c r="G43" s="286">
        <f t="shared" si="14"/>
        <v>0</v>
      </c>
      <c r="H43" s="21">
        <f>ROUND($H$27,0)</f>
        <v>1349</v>
      </c>
      <c r="I43" s="286">
        <f>$I$27</f>
        <v>0</v>
      </c>
      <c r="J43" s="286">
        <f t="shared" ref="J43" si="15">J$27</f>
        <v>0</v>
      </c>
      <c r="K43" s="21">
        <f>$K$27</f>
        <v>680</v>
      </c>
      <c r="L43" s="21">
        <f>$L$27</f>
        <v>0</v>
      </c>
      <c r="M43" s="21">
        <f>$M$27</f>
        <v>200</v>
      </c>
      <c r="N43" s="25">
        <f>$N$27</f>
        <v>0</v>
      </c>
      <c r="O43" s="286">
        <f>$O$27</f>
        <v>291.99706325</v>
      </c>
      <c r="P43" s="286">
        <f t="shared" ref="P43" si="16">P$27</f>
        <v>0</v>
      </c>
      <c r="Q43" s="16">
        <f>$Q$27</f>
        <v>0</v>
      </c>
      <c r="R43" s="280">
        <f>$R$27</f>
        <v>5.2</v>
      </c>
      <c r="S43" s="280">
        <f t="shared" ref="S43" si="17">S$27</f>
        <v>0</v>
      </c>
      <c r="T43" s="289">
        <f>$T$27</f>
        <v>0</v>
      </c>
      <c r="U43" s="289">
        <f t="shared" ref="U43" si="18">U$27</f>
        <v>0</v>
      </c>
      <c r="V43" s="5"/>
    </row>
    <row r="44" spans="2:22" s="3" customFormat="1">
      <c r="B44" s="286">
        <f ca="1">$B$27+($B$27*1*(0.5-RAND()))/100</f>
        <v>0</v>
      </c>
      <c r="C44" s="286"/>
      <c r="D44" s="21">
        <f ca="1">$D$27+($D$27*1*(0.5-RAND()))/100</f>
        <v>1521.3816234419123</v>
      </c>
      <c r="E44" s="286">
        <f ca="1">$E$27+($E$27*1*(0.5-RAND()))/100</f>
        <v>857.34872252574417</v>
      </c>
      <c r="F44" s="286"/>
      <c r="G44" s="286"/>
      <c r="H44" s="21">
        <f ca="1">$H$27+($H$27*1*(0.5-RAND()))/100</f>
        <v>1349.0563548161224</v>
      </c>
      <c r="I44" s="286">
        <f ca="1">$I$27+($I$27*1*(0.5-RAND()))/100</f>
        <v>0</v>
      </c>
      <c r="J44" s="286"/>
      <c r="K44" s="21">
        <f ca="1">$K$27+($K$27*2*(0.5-RAND()))/100</f>
        <v>684.95073176666767</v>
      </c>
      <c r="L44" s="21">
        <f ca="1">$L$27+($L$27*2*(0.5-RAND()))/100</f>
        <v>0</v>
      </c>
      <c r="M44" s="21">
        <f ca="1">$M$27+($M$27*2*(0.5-RAND()))/100</f>
        <v>201.80727398197524</v>
      </c>
      <c r="N44" s="25">
        <v>0</v>
      </c>
      <c r="O44" s="286">
        <f ca="1">$O$27+($O$27*(Load!$BM$46+Load!$BO$46*RAND()))/100</f>
        <v>297.62449562339668</v>
      </c>
      <c r="P44" s="286"/>
      <c r="Q44" s="16">
        <v>0</v>
      </c>
      <c r="R44" s="280">
        <f ca="1">$R$27+($R$27*2*(0.5-RAND()))/100</f>
        <v>5.1795309053793757</v>
      </c>
      <c r="S44" s="280"/>
      <c r="T44" s="290">
        <v>0</v>
      </c>
      <c r="U44" s="290"/>
      <c r="V44" s="5"/>
    </row>
    <row r="45" spans="2:22" s="4" customFormat="1" ht="18" customHeight="1">
      <c r="B45" s="22" t="s">
        <v>47</v>
      </c>
      <c r="C45" s="22"/>
      <c r="D45" s="23"/>
      <c r="E45" s="24"/>
      <c r="F45" s="24"/>
      <c r="G45" s="24"/>
      <c r="H45" s="23"/>
      <c r="I45" s="24"/>
      <c r="J45" s="24"/>
      <c r="K45" s="23"/>
      <c r="L45" s="23"/>
      <c r="M45" s="23"/>
      <c r="N45" s="28" t="s">
        <v>48</v>
      </c>
      <c r="O45" s="288">
        <v>0</v>
      </c>
      <c r="P45" s="288"/>
      <c r="Q45" s="23"/>
      <c r="R45" s="23"/>
      <c r="S45" s="23"/>
      <c r="T45" s="23"/>
      <c r="U45" s="23"/>
    </row>
    <row r="46" spans="2:22" s="3" customFormat="1" ht="17.5" customHeight="1">
      <c r="B46" s="285">
        <f>B43+B39+B35+B31+B27</f>
        <v>0</v>
      </c>
      <c r="C46" s="285"/>
      <c r="D46" s="21">
        <f>ROUND((D43+D39+D35+D31+D27),0)</f>
        <v>7620</v>
      </c>
      <c r="E46" s="286">
        <f>E43+E39+E35+E31+E27</f>
        <v>4305.3869999999997</v>
      </c>
      <c r="F46" s="286"/>
      <c r="G46" s="286"/>
      <c r="H46" s="21">
        <f>H43+H39+H35+H31+H27</f>
        <v>6744.5162</v>
      </c>
      <c r="I46" s="286">
        <f>I43+I39+I35+I31+I27</f>
        <v>0</v>
      </c>
      <c r="J46" s="286"/>
      <c r="K46" s="21">
        <f>K43+K39+K35+K31+K27</f>
        <v>3400</v>
      </c>
      <c r="L46" s="21">
        <f>L43+L39+L35+L31+L27</f>
        <v>0</v>
      </c>
      <c r="M46" s="21">
        <f>M43+M39+M35+M31+M27</f>
        <v>1000</v>
      </c>
      <c r="N46" s="21">
        <v>0</v>
      </c>
      <c r="O46" s="287">
        <f>O43+O39+O35+O31+O27</f>
        <v>1459.9853162499999</v>
      </c>
      <c r="P46" s="287"/>
      <c r="Q46" s="35">
        <f>Q43+Q39+Q35+Q31+Q27</f>
        <v>0</v>
      </c>
      <c r="R46" s="284">
        <f>R43+R39+R35+R31+R27</f>
        <v>26</v>
      </c>
      <c r="S46" s="284"/>
      <c r="T46" s="284">
        <f>T43+T39+T35+T31+T27</f>
        <v>0</v>
      </c>
      <c r="U46" s="284"/>
    </row>
    <row r="47" spans="2:22" s="3" customFormat="1" ht="22" customHeight="1">
      <c r="B47" s="2" t="s">
        <v>49</v>
      </c>
      <c r="C47" s="5"/>
      <c r="D47" s="14"/>
      <c r="E47" s="17"/>
      <c r="F47" s="17"/>
      <c r="G47" s="17"/>
      <c r="H47" s="14"/>
      <c r="I47" s="17"/>
      <c r="J47" s="17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</row>
    <row r="48" spans="2:22" s="3" customFormat="1" ht="17.5" customHeight="1">
      <c r="B48" s="285">
        <f ca="1">B44+B40+B36+B32+B28</f>
        <v>0</v>
      </c>
      <c r="C48" s="285"/>
      <c r="D48" s="21">
        <f ca="1">D44+D40+D36+D32+D28</f>
        <v>7617.6340343999291</v>
      </c>
      <c r="E48" s="286">
        <f ca="1">E44+E40+E36+E32+E28</f>
        <v>4305.9577104745058</v>
      </c>
      <c r="F48" s="286"/>
      <c r="G48" s="286"/>
      <c r="H48" s="21">
        <f ca="1">H44+H40+H36+H32+H28</f>
        <v>6751.0058782987444</v>
      </c>
      <c r="I48" s="286">
        <f ca="1">I44+I40+I36+I32+I28</f>
        <v>0</v>
      </c>
      <c r="J48" s="286"/>
      <c r="K48" s="21">
        <f ca="1">K44+K40+K36+K32+K28</f>
        <v>3391.7092679937095</v>
      </c>
      <c r="L48" s="21">
        <f ca="1">L44+L40+L36+L32+L28</f>
        <v>0</v>
      </c>
      <c r="M48" s="21">
        <f ca="1">M44+M40+M36+M32+M28</f>
        <v>1004.4969096644448</v>
      </c>
      <c r="N48" s="21">
        <f ca="1">N44+N40+N36+N32+N28</f>
        <v>0</v>
      </c>
      <c r="O48" s="287">
        <f ca="1">O44+O40+O36+O32+O28</f>
        <v>1460.8625661085398</v>
      </c>
      <c r="P48" s="287"/>
      <c r="Q48" s="35">
        <f>Q44+Q40+Q36+Q32+Q28</f>
        <v>0</v>
      </c>
      <c r="R48" s="284">
        <f ca="1">R44+R40+R36+R32+R28</f>
        <v>25.855925453934972</v>
      </c>
      <c r="S48" s="284"/>
      <c r="T48" s="284">
        <f t="shared" ref="T48:U48" si="19">T44+T40+T36+T32+T28</f>
        <v>0</v>
      </c>
      <c r="U48" s="284">
        <f t="shared" si="19"/>
        <v>0</v>
      </c>
    </row>
    <row r="49" spans="2:21" s="3" customFormat="1" ht="2.5" customHeight="1">
      <c r="B49" s="283"/>
      <c r="C49" s="283"/>
      <c r="D49" s="283"/>
      <c r="E49" s="283"/>
      <c r="F49" s="283"/>
      <c r="G49" s="283"/>
      <c r="H49" s="283"/>
      <c r="I49" s="283"/>
      <c r="J49" s="283"/>
      <c r="K49" s="283"/>
      <c r="L49" s="283"/>
      <c r="M49" s="283"/>
      <c r="N49" s="283"/>
      <c r="O49" s="283"/>
      <c r="P49" s="283"/>
      <c r="Q49" s="283"/>
      <c r="R49" s="283"/>
      <c r="S49" s="283"/>
      <c r="T49" s="283"/>
      <c r="U49" s="283"/>
    </row>
    <row r="50" spans="2:21" s="3" customFormat="1" ht="9.65" customHeight="1">
      <c r="B50" s="5"/>
      <c r="C50" s="5"/>
      <c r="D50" s="26"/>
      <c r="E50" s="17"/>
      <c r="F50" s="17"/>
      <c r="G50" s="17"/>
      <c r="H50" s="26"/>
      <c r="I50" s="17"/>
      <c r="J50" s="17"/>
      <c r="K50" s="26"/>
      <c r="L50" s="26"/>
      <c r="M50" s="26"/>
      <c r="N50" s="26"/>
      <c r="O50" s="26"/>
      <c r="P50" s="26"/>
      <c r="Q50" s="36"/>
      <c r="S50" s="26"/>
      <c r="T50" s="26"/>
      <c r="U50" s="26"/>
    </row>
    <row r="51" spans="2:21" s="3" customFormat="1">
      <c r="B51" s="5"/>
      <c r="C51" s="5"/>
      <c r="D51" s="26"/>
      <c r="E51" s="17"/>
      <c r="F51" s="17"/>
      <c r="G51" s="17"/>
      <c r="H51" s="26"/>
      <c r="I51" s="17"/>
      <c r="J51" s="17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</row>
    <row r="52" spans="2:21" s="3" customFormat="1">
      <c r="B52" s="5"/>
      <c r="C52" s="5"/>
      <c r="D52" s="26"/>
      <c r="E52" s="17"/>
      <c r="F52" s="17"/>
      <c r="G52" s="17"/>
      <c r="H52" s="26"/>
      <c r="I52" s="17"/>
      <c r="J52" s="17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</row>
    <row r="53" spans="2:21" s="3" customFormat="1">
      <c r="B53" s="5"/>
      <c r="C53" s="5"/>
      <c r="D53" s="26"/>
      <c r="E53" s="17"/>
      <c r="F53" s="17"/>
      <c r="G53" s="17"/>
      <c r="H53" s="26"/>
      <c r="I53" s="17"/>
      <c r="J53" s="17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</row>
    <row r="54" spans="2:21" s="3" customFormat="1">
      <c r="B54" s="5"/>
      <c r="C54" s="5"/>
      <c r="D54" s="26"/>
      <c r="E54" s="17"/>
      <c r="F54" s="17"/>
      <c r="G54" s="17"/>
      <c r="H54" s="26"/>
      <c r="I54" s="17"/>
      <c r="J54" s="17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</row>
    <row r="55" spans="2:21" s="3" customFormat="1">
      <c r="B55" s="279"/>
      <c r="C55" s="279"/>
      <c r="D55" s="26"/>
      <c r="E55" s="280"/>
      <c r="F55" s="280"/>
      <c r="G55" s="280"/>
      <c r="H55" s="26"/>
      <c r="I55" s="280"/>
      <c r="J55" s="280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</row>
    <row r="56" spans="2:21" s="3" customFormat="1">
      <c r="B56" s="279"/>
      <c r="C56" s="279"/>
      <c r="D56" s="26"/>
      <c r="E56" s="280"/>
      <c r="F56" s="280"/>
      <c r="G56" s="280"/>
      <c r="H56" s="26"/>
      <c r="I56" s="280"/>
      <c r="J56" s="280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</row>
    <row r="57" spans="2:21" s="3" customFormat="1">
      <c r="B57" s="279"/>
      <c r="C57" s="279"/>
      <c r="D57" s="26"/>
      <c r="E57" s="26"/>
      <c r="F57" s="26"/>
      <c r="G57" s="26"/>
      <c r="H57" s="26"/>
      <c r="I57" s="280"/>
      <c r="J57" s="280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</row>
    <row r="58" spans="2:21" s="3" customFormat="1">
      <c r="B58" s="279"/>
      <c r="C58" s="279"/>
      <c r="D58" s="26"/>
      <c r="E58" s="26"/>
      <c r="F58" s="26"/>
      <c r="G58" s="26"/>
      <c r="H58" s="26"/>
      <c r="I58" s="280"/>
      <c r="J58" s="280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</row>
    <row r="59" spans="2:21" s="3" customFormat="1">
      <c r="B59" s="279"/>
      <c r="C59" s="279"/>
      <c r="D59" s="26"/>
      <c r="E59" s="26"/>
      <c r="F59" s="26"/>
      <c r="G59" s="26"/>
      <c r="H59" s="26"/>
      <c r="I59" s="280"/>
      <c r="J59" s="280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</row>
    <row r="60" spans="2:21" s="3" customFormat="1">
      <c r="B60" s="279"/>
      <c r="C60" s="279"/>
      <c r="D60" s="26"/>
      <c r="E60" s="26"/>
      <c r="F60" s="26"/>
      <c r="G60" s="26"/>
      <c r="H60" s="26"/>
      <c r="I60" s="280"/>
      <c r="J60" s="280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</row>
    <row r="61" spans="2:21" s="3" customFormat="1">
      <c r="B61" s="26"/>
      <c r="C61" s="26"/>
      <c r="D61" s="26"/>
      <c r="E61" s="26"/>
      <c r="F61" s="26"/>
      <c r="G61" s="26"/>
      <c r="H61" s="26"/>
      <c r="I61" s="281"/>
      <c r="J61" s="281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</row>
    <row r="62" spans="2:21"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</row>
    <row r="63" spans="2:21"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</row>
    <row r="64" spans="2:21"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</row>
    <row r="65" spans="2:21"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</row>
    <row r="66" spans="2:21"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</row>
    <row r="67" spans="2:21"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</row>
    <row r="68" spans="2:21"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</row>
    <row r="69" spans="2:21"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</row>
    <row r="70" spans="2:21"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</row>
    <row r="71" spans="2:21"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</row>
    <row r="72" spans="2:21"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</row>
  </sheetData>
  <sheetProtection selectLockedCells="1"/>
  <mergeCells count="154">
    <mergeCell ref="B2:U2"/>
    <mergeCell ref="B7:U7"/>
    <mergeCell ref="G8:J8"/>
    <mergeCell ref="P8:R8"/>
    <mergeCell ref="S8:T8"/>
    <mergeCell ref="G9:J9"/>
    <mergeCell ref="G10:J10"/>
    <mergeCell ref="B20:J20"/>
    <mergeCell ref="K20:M20"/>
    <mergeCell ref="N20:P20"/>
    <mergeCell ref="R20:U20"/>
    <mergeCell ref="J11:K11"/>
    <mergeCell ref="B21:C21"/>
    <mergeCell ref="E21:G21"/>
    <mergeCell ref="I21:J21"/>
    <mergeCell ref="O21:P21"/>
    <mergeCell ref="R21:S21"/>
    <mergeCell ref="T21:U21"/>
    <mergeCell ref="B23:C23"/>
    <mergeCell ref="E23:G23"/>
    <mergeCell ref="I23:J23"/>
    <mergeCell ref="O23:P23"/>
    <mergeCell ref="R23:S23"/>
    <mergeCell ref="T23:U23"/>
    <mergeCell ref="B25:C25"/>
    <mergeCell ref="E25:G25"/>
    <mergeCell ref="I25:J25"/>
    <mergeCell ref="O25:P25"/>
    <mergeCell ref="B26:C26"/>
    <mergeCell ref="E26:G26"/>
    <mergeCell ref="I26:J26"/>
    <mergeCell ref="O26:P26"/>
    <mergeCell ref="B27:C27"/>
    <mergeCell ref="E27:G27"/>
    <mergeCell ref="I27:J27"/>
    <mergeCell ref="O27:P27"/>
    <mergeCell ref="R27:S27"/>
    <mergeCell ref="T27:U27"/>
    <mergeCell ref="B28:C28"/>
    <mergeCell ref="E28:G28"/>
    <mergeCell ref="I28:J28"/>
    <mergeCell ref="O28:P28"/>
    <mergeCell ref="R28:S28"/>
    <mergeCell ref="T28:U28"/>
    <mergeCell ref="B29:C29"/>
    <mergeCell ref="E29:G29"/>
    <mergeCell ref="I29:J29"/>
    <mergeCell ref="O29:P29"/>
    <mergeCell ref="B30:C30"/>
    <mergeCell ref="E30:G30"/>
    <mergeCell ref="I30:J30"/>
    <mergeCell ref="O30:P30"/>
    <mergeCell ref="B31:C31"/>
    <mergeCell ref="E31:G31"/>
    <mergeCell ref="I31:J31"/>
    <mergeCell ref="O31:P31"/>
    <mergeCell ref="R31:S31"/>
    <mergeCell ref="T31:U31"/>
    <mergeCell ref="B32:C32"/>
    <mergeCell ref="E32:G32"/>
    <mergeCell ref="I32:J32"/>
    <mergeCell ref="O32:P32"/>
    <mergeCell ref="R32:S32"/>
    <mergeCell ref="T32:U32"/>
    <mergeCell ref="B33:C33"/>
    <mergeCell ref="E33:G33"/>
    <mergeCell ref="I33:J33"/>
    <mergeCell ref="O33:P33"/>
    <mergeCell ref="B34:C34"/>
    <mergeCell ref="E34:G34"/>
    <mergeCell ref="I34:J34"/>
    <mergeCell ref="O34:P34"/>
    <mergeCell ref="B35:C35"/>
    <mergeCell ref="E35:G35"/>
    <mergeCell ref="I35:J35"/>
    <mergeCell ref="O35:P35"/>
    <mergeCell ref="R35:S35"/>
    <mergeCell ref="O38:P38"/>
    <mergeCell ref="B39:C39"/>
    <mergeCell ref="E39:G39"/>
    <mergeCell ref="I39:J39"/>
    <mergeCell ref="O39:P39"/>
    <mergeCell ref="R39:S39"/>
    <mergeCell ref="T35:U35"/>
    <mergeCell ref="B36:C36"/>
    <mergeCell ref="E36:G36"/>
    <mergeCell ref="I36:J36"/>
    <mergeCell ref="O36:P36"/>
    <mergeCell ref="R36:S36"/>
    <mergeCell ref="T36:U36"/>
    <mergeCell ref="B37:C37"/>
    <mergeCell ref="E37:G37"/>
    <mergeCell ref="I37:J37"/>
    <mergeCell ref="O37:P37"/>
    <mergeCell ref="R43:S43"/>
    <mergeCell ref="T39:U39"/>
    <mergeCell ref="B40:C40"/>
    <mergeCell ref="E40:G40"/>
    <mergeCell ref="I40:J40"/>
    <mergeCell ref="O40:P40"/>
    <mergeCell ref="R40:S40"/>
    <mergeCell ref="T40:U40"/>
    <mergeCell ref="B41:C41"/>
    <mergeCell ref="E41:G41"/>
    <mergeCell ref="I41:J41"/>
    <mergeCell ref="O41:P41"/>
    <mergeCell ref="R48:S48"/>
    <mergeCell ref="T48:U48"/>
    <mergeCell ref="B49:U49"/>
    <mergeCell ref="B55:C55"/>
    <mergeCell ref="E55:G55"/>
    <mergeCell ref="I55:J55"/>
    <mergeCell ref="T43:U43"/>
    <mergeCell ref="B44:C44"/>
    <mergeCell ref="E44:G44"/>
    <mergeCell ref="I44:J44"/>
    <mergeCell ref="O44:P44"/>
    <mergeCell ref="R44:S44"/>
    <mergeCell ref="T44:U44"/>
    <mergeCell ref="O45:P45"/>
    <mergeCell ref="B46:C46"/>
    <mergeCell ref="E46:G46"/>
    <mergeCell ref="I46:J46"/>
    <mergeCell ref="O46:P46"/>
    <mergeCell ref="R46:S46"/>
    <mergeCell ref="T46:U46"/>
    <mergeCell ref="B43:C43"/>
    <mergeCell ref="E43:G43"/>
    <mergeCell ref="I43:J43"/>
    <mergeCell ref="O43:P43"/>
    <mergeCell ref="B60:C60"/>
    <mergeCell ref="I60:J60"/>
    <mergeCell ref="I61:J61"/>
    <mergeCell ref="E3:Q4"/>
    <mergeCell ref="B56:C56"/>
    <mergeCell ref="E56:G56"/>
    <mergeCell ref="I56:J56"/>
    <mergeCell ref="B57:C57"/>
    <mergeCell ref="I57:J57"/>
    <mergeCell ref="B58:C58"/>
    <mergeCell ref="I58:J58"/>
    <mergeCell ref="B59:C59"/>
    <mergeCell ref="I59:J59"/>
    <mergeCell ref="B48:C48"/>
    <mergeCell ref="E48:G48"/>
    <mergeCell ref="I48:J48"/>
    <mergeCell ref="O48:P48"/>
    <mergeCell ref="B42:C42"/>
    <mergeCell ref="E42:G42"/>
    <mergeCell ref="I42:J42"/>
    <mergeCell ref="O42:P42"/>
    <mergeCell ref="B38:C38"/>
    <mergeCell ref="E38:G38"/>
    <mergeCell ref="I38:J38"/>
  </mergeCells>
  <printOptions horizontalCentered="1"/>
  <pageMargins left="3.9370078740157501E-2" right="3.9370078740157501E-2" top="0.55118110236220497" bottom="0.43307086614173201" header="0.196850393700787" footer="0.31496062992126"/>
  <pageSetup scale="94" orientation="portrait" horizontalDpi="360" verticalDpi="36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B1:V76"/>
  <sheetViews>
    <sheetView showGridLines="0" topLeftCell="C1" workbookViewId="0">
      <selection activeCell="W1" sqref="W1:AD1048576"/>
    </sheetView>
  </sheetViews>
  <sheetFormatPr defaultColWidth="8.7265625" defaultRowHeight="14"/>
  <cols>
    <col min="1" max="1" width="8.7265625" style="5"/>
    <col min="2" max="2" width="2.453125" style="5" customWidth="1"/>
    <col min="3" max="3" width="4.7265625" style="5" customWidth="1"/>
    <col min="4" max="4" width="6.453125" style="5" customWidth="1"/>
    <col min="5" max="7" width="2.54296875" style="5" customWidth="1"/>
    <col min="8" max="8" width="7.453125" style="5" customWidth="1"/>
    <col min="9" max="9" width="2.7265625" style="5" customWidth="1"/>
    <col min="10" max="10" width="4.1796875" style="5" customWidth="1"/>
    <col min="11" max="13" width="8.1796875" style="5" customWidth="1"/>
    <col min="14" max="14" width="9.54296875" style="5" customWidth="1"/>
    <col min="15" max="16" width="4.54296875" style="5" customWidth="1"/>
    <col min="17" max="17" width="10.453125" style="5" customWidth="1"/>
    <col min="18" max="19" width="4.7265625" style="5" customWidth="1"/>
    <col min="20" max="20" width="7.1796875" style="5" customWidth="1"/>
    <col min="21" max="21" width="3.26953125" style="5" customWidth="1"/>
    <col min="22" max="22" width="6.453125" style="5" customWidth="1"/>
    <col min="23" max="16384" width="8.7265625" style="5"/>
  </cols>
  <sheetData>
    <row r="1" spans="2:21" ht="8.15" customHeight="1"/>
    <row r="2" spans="2:21" ht="20">
      <c r="B2" s="300" t="s">
        <v>22</v>
      </c>
      <c r="C2" s="300"/>
      <c r="D2" s="300"/>
      <c r="E2" s="300"/>
      <c r="F2" s="300"/>
      <c r="G2" s="300"/>
      <c r="H2" s="300"/>
      <c r="I2" s="300"/>
      <c r="J2" s="300"/>
      <c r="K2" s="300"/>
      <c r="L2" s="300"/>
      <c r="M2" s="300"/>
      <c r="N2" s="300"/>
      <c r="O2" s="300"/>
      <c r="P2" s="300"/>
      <c r="Q2" s="300"/>
      <c r="R2" s="300"/>
      <c r="S2" s="300"/>
      <c r="T2" s="300"/>
      <c r="U2" s="300"/>
    </row>
    <row r="3" spans="2:21" ht="16" customHeight="1">
      <c r="E3" s="282" t="s">
        <v>23</v>
      </c>
      <c r="F3" s="282"/>
      <c r="G3" s="282"/>
      <c r="H3" s="282"/>
      <c r="I3" s="282"/>
      <c r="J3" s="282"/>
      <c r="K3" s="282"/>
      <c r="L3" s="282"/>
      <c r="M3" s="282"/>
      <c r="N3" s="282"/>
      <c r="O3" s="282"/>
      <c r="P3" s="282"/>
      <c r="Q3" s="282"/>
    </row>
    <row r="4" spans="2:21" ht="16" customHeight="1">
      <c r="E4" s="282"/>
      <c r="F4" s="282"/>
      <c r="G4" s="282"/>
      <c r="H4" s="282"/>
      <c r="I4" s="282"/>
      <c r="J4" s="282"/>
      <c r="K4" s="282"/>
      <c r="L4" s="282"/>
      <c r="M4" s="282"/>
      <c r="N4" s="282"/>
      <c r="O4" s="282"/>
      <c r="P4" s="282"/>
      <c r="Q4" s="282"/>
    </row>
    <row r="5" spans="2:21" ht="16.5" customHeight="1">
      <c r="D5" s="5" t="s">
        <v>24</v>
      </c>
    </row>
    <row r="6" spans="2:21">
      <c r="D6" s="5" t="s">
        <v>25</v>
      </c>
    </row>
    <row r="7" spans="2:21" ht="21.65" customHeight="1">
      <c r="B7" s="296" t="s">
        <v>26</v>
      </c>
      <c r="C7" s="296"/>
      <c r="D7" s="296"/>
      <c r="E7" s="296"/>
      <c r="F7" s="296"/>
      <c r="G7" s="296"/>
      <c r="H7" s="296"/>
      <c r="I7" s="296"/>
      <c r="J7" s="296"/>
      <c r="K7" s="296"/>
      <c r="L7" s="296"/>
      <c r="M7" s="296"/>
      <c r="N7" s="296"/>
      <c r="O7" s="296"/>
      <c r="P7" s="296"/>
      <c r="Q7" s="296"/>
      <c r="R7" s="296"/>
      <c r="S7" s="296"/>
      <c r="T7" s="296"/>
      <c r="U7" s="296"/>
    </row>
    <row r="8" spans="2:21" s="2" customFormat="1" ht="18.649999999999999" customHeight="1">
      <c r="B8" s="6" t="s">
        <v>27</v>
      </c>
      <c r="C8" s="6"/>
      <c r="D8" s="7"/>
      <c r="E8" s="7"/>
      <c r="F8" s="8" t="s">
        <v>28</v>
      </c>
      <c r="G8" s="301">
        <f>Load!J17</f>
        <v>46218</v>
      </c>
      <c r="H8" s="301"/>
      <c r="I8" s="301"/>
      <c r="J8" s="301"/>
      <c r="K8" s="7"/>
      <c r="L8" s="7"/>
      <c r="M8" s="7"/>
      <c r="N8" s="7"/>
      <c r="O8" s="7"/>
      <c r="P8" s="302" t="s">
        <v>29</v>
      </c>
      <c r="Q8" s="302"/>
      <c r="R8" s="302"/>
      <c r="S8" s="303">
        <v>160</v>
      </c>
      <c r="T8" s="303"/>
      <c r="U8" s="7"/>
    </row>
    <row r="9" spans="2:21">
      <c r="B9" s="9" t="s">
        <v>3</v>
      </c>
      <c r="C9" s="9"/>
      <c r="D9" s="10"/>
      <c r="E9" s="10"/>
      <c r="F9" s="11" t="s">
        <v>28</v>
      </c>
      <c r="G9" s="298">
        <f>Load!K19</f>
        <v>0.50232638888888892</v>
      </c>
      <c r="H9" s="298"/>
      <c r="I9" s="298"/>
      <c r="J9" s="298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</row>
    <row r="10" spans="2:21">
      <c r="B10" s="9" t="s">
        <v>31</v>
      </c>
      <c r="C10" s="9"/>
      <c r="D10" s="10"/>
      <c r="E10" s="10"/>
      <c r="F10" s="11" t="s">
        <v>28</v>
      </c>
      <c r="G10" s="298">
        <f>Load!K21</f>
        <v>0.51138888888888889</v>
      </c>
      <c r="H10" s="298"/>
      <c r="I10" s="298"/>
      <c r="J10" s="298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</row>
    <row r="11" spans="2:21" s="2" customFormat="1" ht="20.149999999999999" customHeight="1">
      <c r="B11" s="7"/>
      <c r="C11" s="6" t="s">
        <v>0</v>
      </c>
      <c r="D11" s="7"/>
      <c r="E11" s="7"/>
      <c r="F11" s="7"/>
      <c r="G11" s="7"/>
      <c r="H11" s="7"/>
      <c r="I11" s="6" t="s">
        <v>28</v>
      </c>
      <c r="J11" s="299">
        <f>Load!AN26</f>
        <v>8338</v>
      </c>
      <c r="K11" s="299"/>
      <c r="L11" s="7"/>
      <c r="M11" s="7"/>
      <c r="N11" s="7"/>
      <c r="O11" s="7"/>
      <c r="P11" s="6" t="s">
        <v>1</v>
      </c>
      <c r="Q11" s="7"/>
      <c r="R11" s="7"/>
      <c r="S11" s="6" t="s">
        <v>28</v>
      </c>
      <c r="T11" s="29">
        <f>Load!BN26</f>
        <v>45</v>
      </c>
      <c r="U11" s="30" t="s">
        <v>32</v>
      </c>
    </row>
    <row r="12" spans="2:21" ht="16" customHeight="1">
      <c r="B12" s="10"/>
      <c r="C12" s="9" t="s">
        <v>5</v>
      </c>
      <c r="D12" s="10"/>
      <c r="E12" s="10"/>
      <c r="F12" s="10"/>
      <c r="G12" s="10"/>
      <c r="H12" s="10"/>
      <c r="I12" s="6" t="s">
        <v>28</v>
      </c>
      <c r="J12" s="10" t="str">
        <f>Load!M26</f>
        <v>JHEERNNODHARA SAMITHI ANANTHAPURAM</v>
      </c>
      <c r="K12" s="10"/>
      <c r="L12" s="10"/>
      <c r="M12" s="10"/>
      <c r="N12" s="10"/>
      <c r="O12" s="10"/>
      <c r="P12" s="9" t="s">
        <v>2</v>
      </c>
      <c r="Q12" s="10"/>
      <c r="R12" s="10"/>
      <c r="S12" s="6" t="s">
        <v>28</v>
      </c>
      <c r="T12" s="29">
        <f>Load!AO29</f>
        <v>10</v>
      </c>
      <c r="U12" s="30" t="s">
        <v>32</v>
      </c>
    </row>
    <row r="13" spans="2:21" ht="16" customHeight="1">
      <c r="B13" s="10"/>
      <c r="C13" s="9" t="s">
        <v>7</v>
      </c>
      <c r="D13" s="10"/>
      <c r="E13" s="10"/>
      <c r="F13" s="10"/>
      <c r="G13" s="10"/>
      <c r="H13" s="10"/>
      <c r="I13" s="6" t="s">
        <v>28</v>
      </c>
      <c r="J13" s="10" t="str">
        <f>Load!M34</f>
        <v>BOVIKANAM</v>
      </c>
      <c r="O13" s="10"/>
      <c r="P13" s="9" t="s">
        <v>4</v>
      </c>
      <c r="Q13" s="10"/>
      <c r="R13" s="10"/>
      <c r="S13" s="6" t="s">
        <v>28</v>
      </c>
      <c r="T13" s="29">
        <v>0</v>
      </c>
      <c r="U13" s="30" t="s">
        <v>32</v>
      </c>
    </row>
    <row r="14" spans="2:21" ht="16" customHeight="1">
      <c r="B14" s="10"/>
      <c r="C14" s="9" t="s">
        <v>9</v>
      </c>
      <c r="D14" s="10"/>
      <c r="E14" s="10"/>
      <c r="F14" s="10"/>
      <c r="G14" s="10"/>
      <c r="H14" s="10"/>
      <c r="I14" s="6" t="s">
        <v>28</v>
      </c>
      <c r="J14" s="10" t="str">
        <f>Load!M29</f>
        <v>M 40 A</v>
      </c>
      <c r="K14" s="10"/>
      <c r="L14" s="10"/>
      <c r="M14" s="10"/>
      <c r="N14" s="10"/>
      <c r="O14" s="10"/>
      <c r="P14" s="9" t="s">
        <v>6</v>
      </c>
      <c r="Q14" s="10"/>
      <c r="R14" s="10"/>
      <c r="S14" s="6" t="s">
        <v>28</v>
      </c>
      <c r="T14" s="29">
        <f>Load!BE26</f>
        <v>31</v>
      </c>
      <c r="U14" s="30" t="s">
        <v>32</v>
      </c>
    </row>
    <row r="15" spans="2:21" ht="16" customHeight="1">
      <c r="B15" s="10"/>
      <c r="C15" s="9" t="s">
        <v>10</v>
      </c>
      <c r="D15" s="10"/>
      <c r="E15" s="10"/>
      <c r="F15" s="10"/>
      <c r="G15" s="10"/>
      <c r="H15" s="10"/>
      <c r="I15" s="6" t="s">
        <v>28</v>
      </c>
      <c r="J15" s="10">
        <f>Load!M32</f>
        <v>0</v>
      </c>
      <c r="K15" s="10"/>
      <c r="L15" s="10"/>
      <c r="M15" s="10"/>
      <c r="N15" s="10"/>
      <c r="O15" s="10"/>
      <c r="P15" s="9" t="s">
        <v>33</v>
      </c>
      <c r="Q15" s="10"/>
      <c r="R15" s="10"/>
      <c r="S15" s="6" t="s">
        <v>28</v>
      </c>
      <c r="T15" s="29">
        <v>1</v>
      </c>
      <c r="U15" s="30" t="s">
        <v>32</v>
      </c>
    </row>
    <row r="16" spans="2:21" ht="16" customHeight="1">
      <c r="B16" s="10"/>
      <c r="C16" s="9" t="s">
        <v>12</v>
      </c>
      <c r="D16" s="10"/>
      <c r="E16" s="10"/>
      <c r="F16" s="10"/>
      <c r="G16" s="10"/>
      <c r="H16" s="10"/>
      <c r="I16" s="6" t="s">
        <v>28</v>
      </c>
      <c r="J16" s="10" t="str">
        <f>Load!BG29</f>
        <v>KL14 AF 2789</v>
      </c>
      <c r="K16" s="10"/>
      <c r="L16" s="10"/>
      <c r="M16" s="10"/>
      <c r="N16" s="10"/>
      <c r="O16" s="10"/>
      <c r="P16" s="9" t="s">
        <v>34</v>
      </c>
      <c r="Q16" s="10"/>
      <c r="R16" s="10"/>
      <c r="S16" s="6" t="s">
        <v>28</v>
      </c>
      <c r="T16" s="29">
        <f>T12/6</f>
        <v>1.6666666666666667</v>
      </c>
      <c r="U16" s="30" t="s">
        <v>32</v>
      </c>
    </row>
    <row r="17" spans="2:22" ht="16" customHeight="1">
      <c r="B17" s="10"/>
      <c r="C17" s="9" t="s">
        <v>11</v>
      </c>
      <c r="D17" s="10"/>
      <c r="E17" s="10"/>
      <c r="F17" s="10"/>
      <c r="G17" s="10"/>
      <c r="H17" s="10"/>
      <c r="I17" s="6" t="s">
        <v>28</v>
      </c>
      <c r="J17" s="10">
        <f>Load!AZ32</f>
        <v>0</v>
      </c>
      <c r="K17" s="10"/>
      <c r="L17" s="10"/>
      <c r="M17" s="10"/>
      <c r="N17" s="10"/>
      <c r="O17" s="10"/>
      <c r="P17" s="9" t="s">
        <v>35</v>
      </c>
      <c r="Q17" s="10"/>
      <c r="R17" s="10"/>
      <c r="S17" s="10"/>
      <c r="T17" s="10">
        <v>0</v>
      </c>
      <c r="U17" s="31" t="s">
        <v>36</v>
      </c>
    </row>
    <row r="18" spans="2:22">
      <c r="C18" s="9" t="s">
        <v>8</v>
      </c>
      <c r="D18" s="10"/>
      <c r="E18" s="10"/>
      <c r="F18" s="10"/>
      <c r="G18" s="10"/>
      <c r="H18" s="10"/>
      <c r="I18" s="6" t="s">
        <v>28</v>
      </c>
      <c r="J18" s="10">
        <f>Load!AZ34</f>
        <v>0</v>
      </c>
      <c r="K18" s="10"/>
      <c r="L18" s="10"/>
      <c r="M18" s="10"/>
      <c r="N18" s="10"/>
      <c r="O18" s="10"/>
    </row>
    <row r="19" spans="2:22">
      <c r="C19" s="9" t="s">
        <v>37</v>
      </c>
      <c r="D19" s="10"/>
      <c r="E19" s="10"/>
      <c r="F19" s="10"/>
      <c r="G19" s="10"/>
      <c r="H19" s="10"/>
      <c r="I19" s="6" t="s">
        <v>28</v>
      </c>
      <c r="J19" s="10" t="s">
        <v>25</v>
      </c>
      <c r="K19" s="10"/>
      <c r="L19" s="10"/>
      <c r="M19" s="10"/>
      <c r="N19" s="10"/>
      <c r="O19" s="10"/>
    </row>
    <row r="20" spans="2:22" ht="22" customHeight="1">
      <c r="B20" s="296" t="s">
        <v>38</v>
      </c>
      <c r="C20" s="296"/>
      <c r="D20" s="296"/>
      <c r="E20" s="296"/>
      <c r="F20" s="296"/>
      <c r="G20" s="296"/>
      <c r="H20" s="296"/>
      <c r="I20" s="296"/>
      <c r="J20" s="296"/>
      <c r="K20" s="296" t="s">
        <v>39</v>
      </c>
      <c r="L20" s="296"/>
      <c r="M20" s="296"/>
      <c r="N20" s="296" t="s">
        <v>40</v>
      </c>
      <c r="O20" s="296"/>
      <c r="P20" s="296"/>
      <c r="Q20" s="32" t="s">
        <v>41</v>
      </c>
      <c r="R20" s="296" t="s">
        <v>42</v>
      </c>
      <c r="S20" s="296"/>
      <c r="T20" s="296"/>
      <c r="U20" s="296"/>
    </row>
    <row r="21" spans="2:22" ht="14.5" customHeight="1">
      <c r="B21" s="297" t="str">
        <f>Load!W45</f>
        <v>M SAND</v>
      </c>
      <c r="C21" s="297"/>
      <c r="D21" s="12" t="str">
        <f>Load!AA45</f>
        <v xml:space="preserve">M SAND </v>
      </c>
      <c r="E21" s="293" t="str">
        <f>Load!AE45</f>
        <v>12 MM</v>
      </c>
      <c r="F21" s="293"/>
      <c r="G21" s="293"/>
      <c r="H21" s="14" t="str">
        <f>Load!AG45</f>
        <v>20 MM</v>
      </c>
      <c r="I21" s="293" t="str">
        <f>Load!AJ45</f>
        <v>0</v>
      </c>
      <c r="J21" s="293"/>
      <c r="K21" s="13" t="str">
        <f>Load!AL45</f>
        <v>CEM 1</v>
      </c>
      <c r="L21" s="13" t="str">
        <f>Load!AP45</f>
        <v>CEM 2</v>
      </c>
      <c r="M21" s="13" t="str">
        <f>Load!AR45</f>
        <v>CEM 3</v>
      </c>
      <c r="O21" s="293" t="str">
        <f>Load!BC45</f>
        <v>WATER</v>
      </c>
      <c r="P21" s="293"/>
      <c r="Q21" s="5" t="s">
        <v>43</v>
      </c>
      <c r="R21" s="297" t="str">
        <f>Load!AV45</f>
        <v>ADMIX1</v>
      </c>
      <c r="S21" s="297"/>
      <c r="T21" s="297" t="str">
        <f>Load!AY45</f>
        <v>ADMIX2</v>
      </c>
      <c r="U21" s="297"/>
    </row>
    <row r="22" spans="2:22">
      <c r="B22" s="10" t="s">
        <v>44</v>
      </c>
    </row>
    <row r="23" spans="2:22" s="2" customFormat="1" ht="20.5" customHeight="1">
      <c r="B23" s="294">
        <f>Load!W46</f>
        <v>0</v>
      </c>
      <c r="C23" s="294"/>
      <c r="D23" s="15">
        <f>Load!AA46</f>
        <v>743</v>
      </c>
      <c r="E23" s="295">
        <f>Load!AE46</f>
        <v>435</v>
      </c>
      <c r="F23" s="295"/>
      <c r="G23" s="295"/>
      <c r="H23" s="15">
        <f>Load!AG46</f>
        <v>681</v>
      </c>
      <c r="I23" s="295"/>
      <c r="J23" s="295"/>
      <c r="K23" s="27">
        <f>Load!AL46</f>
        <v>340</v>
      </c>
      <c r="L23" s="27">
        <f>Load!AP46</f>
        <v>0</v>
      </c>
      <c r="M23" s="27">
        <f>Load!AR46</f>
        <v>100</v>
      </c>
      <c r="N23" s="27">
        <v>0</v>
      </c>
      <c r="O23" s="294">
        <f>Load!BC46</f>
        <v>154</v>
      </c>
      <c r="P23" s="294"/>
      <c r="Q23" s="33">
        <v>0</v>
      </c>
      <c r="R23" s="292">
        <f>Load!AV46</f>
        <v>2.6</v>
      </c>
      <c r="S23" s="292"/>
      <c r="T23" s="292">
        <f>Load!AY46</f>
        <v>0</v>
      </c>
      <c r="U23" s="292"/>
    </row>
    <row r="24" spans="2:22" ht="20.149999999999999" customHeight="1">
      <c r="B24" s="5" t="s">
        <v>45</v>
      </c>
    </row>
    <row r="25" spans="2:22">
      <c r="B25" s="280">
        <f>Load!W47</f>
        <v>0</v>
      </c>
      <c r="C25" s="280"/>
      <c r="D25" s="17">
        <f>Load!AA47</f>
        <v>2</v>
      </c>
      <c r="E25" s="280">
        <f>Load!AE47</f>
        <v>1</v>
      </c>
      <c r="F25" s="280"/>
      <c r="G25" s="280"/>
      <c r="H25" s="18">
        <f>Load!AG47</f>
        <v>1</v>
      </c>
      <c r="I25" s="280">
        <v>0</v>
      </c>
      <c r="J25" s="280"/>
      <c r="K25" s="14"/>
      <c r="L25" s="14"/>
      <c r="M25" s="14"/>
      <c r="N25" s="14"/>
      <c r="O25" s="293">
        <v>0</v>
      </c>
      <c r="P25" s="293"/>
      <c r="Q25" s="14"/>
      <c r="R25" s="14"/>
      <c r="S25" s="14"/>
      <c r="T25" s="14"/>
      <c r="U25" s="14"/>
    </row>
    <row r="26" spans="2:22">
      <c r="B26" s="280">
        <f>Load!W48</f>
        <v>0</v>
      </c>
      <c r="C26" s="280"/>
      <c r="D26" s="124">
        <f>Load!AA48</f>
        <v>4.5</v>
      </c>
      <c r="E26" s="280">
        <f>Load!AE48</f>
        <v>0</v>
      </c>
      <c r="F26" s="280"/>
      <c r="G26" s="280"/>
      <c r="H26" s="16">
        <f>Load!AG48</f>
        <v>0</v>
      </c>
      <c r="I26" s="280">
        <v>0</v>
      </c>
      <c r="J26" s="280"/>
      <c r="K26" s="14"/>
      <c r="L26" s="14"/>
      <c r="M26" s="14"/>
      <c r="N26" s="13" t="s">
        <v>46</v>
      </c>
      <c r="O26" s="279">
        <v>0</v>
      </c>
      <c r="P26" s="279"/>
      <c r="Q26" s="14"/>
      <c r="R26" s="14"/>
      <c r="S26" s="14"/>
      <c r="T26" s="14"/>
      <c r="U26" s="14"/>
    </row>
    <row r="27" spans="2:22">
      <c r="B27" s="286">
        <f>(((B26-B25)*(B23*T16))/100)+(((B26-B25)*(((B26-B25)*(B23*T16))/100))/100)+(B23*T16)</f>
        <v>0</v>
      </c>
      <c r="C27" s="286">
        <f t="shared" ref="C27" si="0">(((C26-C25)*C23)/100)+(((C26-C25)*(((C26-C25)*C23)/100))/100)+C23</f>
        <v>0</v>
      </c>
      <c r="D27" s="20">
        <f>(((D26-D25)*(D23*T16))/100)+(((D26-D25)*(((D26-D25)*(D23*T16))/100))/100)+(D23*T16)</f>
        <v>1270.0656250000002</v>
      </c>
      <c r="E27" s="286">
        <f>(((E26-E25)*(E23*T16))/100)+(((E26-E25)*(((E26-E25)*(T16*E23))/100))/100)+(T16*E23)</f>
        <v>717.82249999999999</v>
      </c>
      <c r="F27" s="286">
        <f t="shared" ref="F27:G27" si="1">(((F26-F25)*F23)/100)+(((F26-F25)*(((F26-F25)*F23)/100))/100)+F23</f>
        <v>0</v>
      </c>
      <c r="G27" s="286">
        <f t="shared" si="1"/>
        <v>0</v>
      </c>
      <c r="H27" s="21">
        <f>(((H26-H25)*(T16*H23))/100)+(((H26-H25)*(((H26-H25)*(T16*H23))/100))/100)+(T16*H23)</f>
        <v>1123.7635</v>
      </c>
      <c r="I27" s="286">
        <f>(((I26-I25)*(T16*I23))/100)+(((I26-I25)*(((I26-I25)*(T16*I23))/100))/100)+(T16*I23)</f>
        <v>0</v>
      </c>
      <c r="J27" s="286">
        <f t="shared" ref="J27" si="2">(((J26-J25)*J23)/100)+(((J26-J25)*(((J26-J25)*J23)/100))/100)+J23</f>
        <v>0</v>
      </c>
      <c r="K27" s="21">
        <f>K23*T16</f>
        <v>566.66666666666674</v>
      </c>
      <c r="L27" s="21">
        <f>L23*T16</f>
        <v>0</v>
      </c>
      <c r="M27" s="21">
        <f>M23*T16</f>
        <v>166.66666666666669</v>
      </c>
      <c r="N27" s="25">
        <v>0</v>
      </c>
      <c r="O27" s="291">
        <f>(T16*O23)-(((B27*B26/100)-(B27*B25/100))+((D27*D26/100)-(D27*D25/100))+((E27*E26/100)-(E27*E25/100))+((H27*H26/100)-(H27*H25/100)))</f>
        <v>243.3308860416667</v>
      </c>
      <c r="P27" s="291"/>
      <c r="Q27" s="34">
        <v>0</v>
      </c>
      <c r="R27" s="280">
        <f>R23*T16</f>
        <v>4.3333333333333339</v>
      </c>
      <c r="S27" s="280"/>
      <c r="T27" s="289">
        <f>T23*T16</f>
        <v>0</v>
      </c>
      <c r="U27" s="289"/>
    </row>
    <row r="28" spans="2:22">
      <c r="B28" s="286">
        <f ca="1">$B$27+($B$27*1*(0.5-RAND()))/100</f>
        <v>0</v>
      </c>
      <c r="C28" s="286"/>
      <c r="D28" s="21">
        <f ca="1">$D$27+($D$27*1*(0.5-RAND()))/100</f>
        <v>1264.5668643067756</v>
      </c>
      <c r="E28" s="286">
        <f ca="1">$E$27+($E$27*1*(0.5-RAND()))/100</f>
        <v>720.525725723086</v>
      </c>
      <c r="F28" s="286"/>
      <c r="G28" s="286"/>
      <c r="H28" s="21">
        <f ca="1">$H$27+($H$27*1*(0.5-RAND()))/100</f>
        <v>1121.8444652244721</v>
      </c>
      <c r="I28" s="286">
        <f ca="1">$I$27+($I$27*1*(0.5-RAND()))/100</f>
        <v>0</v>
      </c>
      <c r="J28" s="286"/>
      <c r="K28" s="21">
        <f ca="1">$K$27+($K$27*2*(0.5-RAND()))/100</f>
        <v>563.54060232153915</v>
      </c>
      <c r="L28" s="21">
        <f ca="1">$L$27+($L$27*2*(0.5-RAND()))/100</f>
        <v>0</v>
      </c>
      <c r="M28" s="21">
        <f ca="1">$M$27+($M$27*2*(0.5-RAND()))/100</f>
        <v>166.08678051030694</v>
      </c>
      <c r="N28" s="25">
        <f ca="1">N27+(N27*1*(0.5-RAND()))/100</f>
        <v>0</v>
      </c>
      <c r="O28" s="286">
        <f ca="1">$O$27+($O$27*(Load!$BM$46+Load!$BO$46*RAND()))/100</f>
        <v>248.1921820731404</v>
      </c>
      <c r="P28" s="286"/>
      <c r="Q28" s="34">
        <v>0</v>
      </c>
      <c r="R28" s="280">
        <f ca="1">$R$27+($R$27*2*(0.5-RAND()))/100</f>
        <v>4.324985158154699</v>
      </c>
      <c r="S28" s="280"/>
      <c r="T28" s="290">
        <v>0</v>
      </c>
      <c r="U28" s="290"/>
    </row>
    <row r="29" spans="2:22">
      <c r="B29" s="280">
        <f>$B$25</f>
        <v>0</v>
      </c>
      <c r="C29" s="280"/>
      <c r="D29" s="17">
        <f>$D$25</f>
        <v>2</v>
      </c>
      <c r="E29" s="280">
        <f>$E$25</f>
        <v>1</v>
      </c>
      <c r="F29" s="280"/>
      <c r="G29" s="280"/>
      <c r="H29" s="18">
        <f>$H$25</f>
        <v>1</v>
      </c>
      <c r="I29" s="280">
        <v>0</v>
      </c>
      <c r="J29" s="280"/>
      <c r="K29" s="14"/>
      <c r="L29" s="14"/>
      <c r="M29" s="14"/>
      <c r="N29" s="14"/>
      <c r="O29" s="293">
        <v>0</v>
      </c>
      <c r="P29" s="293"/>
      <c r="Q29" s="14"/>
      <c r="R29" s="14"/>
      <c r="S29" s="14"/>
      <c r="T29" s="14"/>
      <c r="U29" s="14"/>
    </row>
    <row r="30" spans="2:22">
      <c r="B30" s="280">
        <f>$B$26</f>
        <v>0</v>
      </c>
      <c r="C30" s="280"/>
      <c r="D30" s="124">
        <f>$D$26</f>
        <v>4.5</v>
      </c>
      <c r="E30" s="280">
        <f>$E$26</f>
        <v>0</v>
      </c>
      <c r="F30" s="280"/>
      <c r="G30" s="280"/>
      <c r="H30" s="16">
        <f>$H$26</f>
        <v>0</v>
      </c>
      <c r="I30" s="280">
        <v>0</v>
      </c>
      <c r="J30" s="280"/>
      <c r="K30" s="14"/>
      <c r="L30" s="14"/>
      <c r="M30" s="14"/>
      <c r="N30" s="13" t="s">
        <v>46</v>
      </c>
      <c r="O30" s="279">
        <v>0</v>
      </c>
      <c r="P30" s="279"/>
      <c r="Q30" s="14"/>
      <c r="R30" s="14"/>
      <c r="S30" s="14"/>
      <c r="T30" s="14"/>
      <c r="U30" s="14"/>
    </row>
    <row r="31" spans="2:22" s="3" customFormat="1">
      <c r="B31" s="286">
        <f>ROUND($B$27,0)</f>
        <v>0</v>
      </c>
      <c r="C31" s="286"/>
      <c r="D31" s="21">
        <f>ROUND(($D$27),0)</f>
        <v>1270</v>
      </c>
      <c r="E31" s="286">
        <f>ROUND($E$27,0)</f>
        <v>718</v>
      </c>
      <c r="F31" s="286">
        <f t="shared" ref="F31:U31" si="3">F$27</f>
        <v>0</v>
      </c>
      <c r="G31" s="286">
        <f t="shared" si="3"/>
        <v>0</v>
      </c>
      <c r="H31" s="21">
        <f>ROUND($H$27,0)</f>
        <v>1124</v>
      </c>
      <c r="I31" s="286">
        <f>$I$27</f>
        <v>0</v>
      </c>
      <c r="J31" s="286">
        <f t="shared" si="3"/>
        <v>0</v>
      </c>
      <c r="K31" s="21">
        <f>$K$27</f>
        <v>566.66666666666674</v>
      </c>
      <c r="L31" s="21">
        <f>$L$27</f>
        <v>0</v>
      </c>
      <c r="M31" s="21">
        <f>$M$27</f>
        <v>166.66666666666669</v>
      </c>
      <c r="N31" s="25">
        <f>$N$27</f>
        <v>0</v>
      </c>
      <c r="O31" s="286">
        <f>$O$27</f>
        <v>243.3308860416667</v>
      </c>
      <c r="P31" s="286">
        <f t="shared" si="3"/>
        <v>0</v>
      </c>
      <c r="Q31" s="34">
        <f>$Q$27</f>
        <v>0</v>
      </c>
      <c r="R31" s="280">
        <f>$R$27</f>
        <v>4.3333333333333339</v>
      </c>
      <c r="S31" s="280">
        <f t="shared" si="3"/>
        <v>0</v>
      </c>
      <c r="T31" s="289">
        <f>$T$27</f>
        <v>0</v>
      </c>
      <c r="U31" s="289">
        <f t="shared" si="3"/>
        <v>0</v>
      </c>
      <c r="V31" s="5"/>
    </row>
    <row r="32" spans="2:22" s="3" customFormat="1">
      <c r="B32" s="286">
        <f ca="1">$B$27+($B$27*1*(0.5-RAND()))/100</f>
        <v>0</v>
      </c>
      <c r="C32" s="286"/>
      <c r="D32" s="21">
        <f ca="1">$D$27+($D$27*1*(0.5-RAND()))/100</f>
        <v>1268.9736149631826</v>
      </c>
      <c r="E32" s="286">
        <f ca="1">$E$27+($E$27*1*(0.5-RAND()))/100</f>
        <v>718.5320535549846</v>
      </c>
      <c r="F32" s="286"/>
      <c r="G32" s="286"/>
      <c r="H32" s="21">
        <f ca="1">$H$27+($H$27*1*(0.5-RAND()))/100</f>
        <v>1125.9916419619074</v>
      </c>
      <c r="I32" s="286">
        <f ca="1">$I$27+($I$27*1*(0.5-RAND()))/100</f>
        <v>0</v>
      </c>
      <c r="J32" s="286"/>
      <c r="K32" s="21">
        <f ca="1">$K$27+($K$27*2*(0.5-RAND()))/100</f>
        <v>569.05669937792436</v>
      </c>
      <c r="L32" s="21">
        <f ca="1">$L$27+($L$27*2*(0.5-RAND()))/100</f>
        <v>0</v>
      </c>
      <c r="M32" s="21">
        <f ca="1">$M$27+($M$27*2*(0.5-RAND()))/100</f>
        <v>167.382153111072</v>
      </c>
      <c r="N32" s="25">
        <v>0</v>
      </c>
      <c r="O32" s="286">
        <f ca="1">$O$27+($O$27*(Load!$BM$46+Load!$BO$46*RAND()))/100</f>
        <v>246.55472006119001</v>
      </c>
      <c r="P32" s="286"/>
      <c r="Q32" s="16">
        <v>0</v>
      </c>
      <c r="R32" s="280">
        <f ca="1">$R$27+($R$27*2*(0.5-RAND()))/100</f>
        <v>4.3339280485529486</v>
      </c>
      <c r="S32" s="280"/>
      <c r="T32" s="290">
        <v>0</v>
      </c>
      <c r="U32" s="290"/>
      <c r="V32" s="5"/>
    </row>
    <row r="33" spans="2:22" s="3" customFormat="1">
      <c r="B33" s="280">
        <f>$B$25</f>
        <v>0</v>
      </c>
      <c r="C33" s="280"/>
      <c r="D33" s="17">
        <f>$D$25</f>
        <v>2</v>
      </c>
      <c r="E33" s="280">
        <f>$E$25</f>
        <v>1</v>
      </c>
      <c r="F33" s="280"/>
      <c r="G33" s="280"/>
      <c r="H33" s="18">
        <f>$H$25</f>
        <v>1</v>
      </c>
      <c r="I33" s="280">
        <v>0</v>
      </c>
      <c r="J33" s="280"/>
      <c r="K33" s="14"/>
      <c r="L33" s="14"/>
      <c r="M33" s="14"/>
      <c r="N33" s="14"/>
      <c r="O33" s="293">
        <v>0</v>
      </c>
      <c r="P33" s="293"/>
      <c r="Q33" s="14"/>
      <c r="R33" s="14"/>
      <c r="S33" s="14"/>
      <c r="T33" s="14"/>
      <c r="U33" s="14"/>
      <c r="V33" s="5"/>
    </row>
    <row r="34" spans="2:22" s="3" customFormat="1">
      <c r="B34" s="280">
        <f>$B$26</f>
        <v>0</v>
      </c>
      <c r="C34" s="280"/>
      <c r="D34" s="124">
        <f>$D$26</f>
        <v>4.5</v>
      </c>
      <c r="E34" s="280">
        <f>$E$26</f>
        <v>0</v>
      </c>
      <c r="F34" s="280"/>
      <c r="G34" s="280"/>
      <c r="H34" s="16">
        <f>$H$26</f>
        <v>0</v>
      </c>
      <c r="I34" s="280">
        <v>0</v>
      </c>
      <c r="J34" s="280"/>
      <c r="K34" s="14"/>
      <c r="L34" s="14"/>
      <c r="M34" s="14"/>
      <c r="N34" s="13" t="s">
        <v>46</v>
      </c>
      <c r="O34" s="279">
        <v>0</v>
      </c>
      <c r="P34" s="279"/>
      <c r="Q34" s="14"/>
      <c r="R34" s="14"/>
      <c r="S34" s="14"/>
      <c r="T34" s="14"/>
      <c r="U34" s="14"/>
      <c r="V34" s="5"/>
    </row>
    <row r="35" spans="2:22" s="3" customFormat="1">
      <c r="B35" s="286">
        <f>ROUND($B$27,0)</f>
        <v>0</v>
      </c>
      <c r="C35" s="286"/>
      <c r="D35" s="21">
        <f>ROUND(($D$27),0)</f>
        <v>1270</v>
      </c>
      <c r="E35" s="286">
        <f>ROUND($E$27,0)</f>
        <v>718</v>
      </c>
      <c r="F35" s="286">
        <f t="shared" ref="F35:G35" si="4">F$27</f>
        <v>0</v>
      </c>
      <c r="G35" s="286">
        <f t="shared" si="4"/>
        <v>0</v>
      </c>
      <c r="H35" s="21">
        <f>ROUND($H$27,0)</f>
        <v>1124</v>
      </c>
      <c r="I35" s="286">
        <f>$I$27</f>
        <v>0</v>
      </c>
      <c r="J35" s="286">
        <f t="shared" ref="J35" si="5">J$27</f>
        <v>0</v>
      </c>
      <c r="K35" s="21">
        <f>$K$27</f>
        <v>566.66666666666674</v>
      </c>
      <c r="L35" s="21">
        <f>$L$27</f>
        <v>0</v>
      </c>
      <c r="M35" s="21">
        <f>$M$27</f>
        <v>166.66666666666669</v>
      </c>
      <c r="N35" s="25">
        <f>$N$27</f>
        <v>0</v>
      </c>
      <c r="O35" s="286">
        <f>$O$27</f>
        <v>243.3308860416667</v>
      </c>
      <c r="P35" s="286">
        <f t="shared" ref="P35" si="6">P$27</f>
        <v>0</v>
      </c>
      <c r="Q35" s="16">
        <f>$Q$27</f>
        <v>0</v>
      </c>
      <c r="R35" s="280">
        <f>$R$27</f>
        <v>4.3333333333333339</v>
      </c>
      <c r="S35" s="280">
        <f t="shared" ref="S35" si="7">S$27</f>
        <v>0</v>
      </c>
      <c r="T35" s="289">
        <f>$T$27</f>
        <v>0</v>
      </c>
      <c r="U35" s="289">
        <f t="shared" ref="U35" si="8">U$27</f>
        <v>0</v>
      </c>
      <c r="V35" s="5"/>
    </row>
    <row r="36" spans="2:22" s="3" customFormat="1">
      <c r="B36" s="286">
        <f ca="1">$B$27+($B$27*1*(0.5-RAND()))/100</f>
        <v>0</v>
      </c>
      <c r="C36" s="286"/>
      <c r="D36" s="21">
        <f ca="1">$D$27+($D$27*1*(0.5-RAND()))/100</f>
        <v>1273.9655193352557</v>
      </c>
      <c r="E36" s="286">
        <f ca="1">$E$27+($E$27*1*(0.5-RAND()))/100</f>
        <v>714.86814671836055</v>
      </c>
      <c r="F36" s="286"/>
      <c r="G36" s="286"/>
      <c r="H36" s="21">
        <f ca="1">$H$27+($H$27*1*(0.5-RAND()))/100</f>
        <v>1128.0800974799668</v>
      </c>
      <c r="I36" s="286">
        <f ca="1">$I$27+($I$27*1*(0.5-RAND()))/100</f>
        <v>0</v>
      </c>
      <c r="J36" s="286"/>
      <c r="K36" s="21">
        <f ca="1">$K$27+($K$27*2*(0.5-RAND()))/100</f>
        <v>561.52636869992659</v>
      </c>
      <c r="L36" s="21">
        <f ca="1">$L$27+($L$27*2*(0.5-RAND()))/100</f>
        <v>0</v>
      </c>
      <c r="M36" s="21">
        <f ca="1">$M$27+($M$27*2*(0.5-RAND()))/100</f>
        <v>168.19763165107545</v>
      </c>
      <c r="N36" s="25">
        <v>0</v>
      </c>
      <c r="O36" s="286">
        <f ca="1">$O$27+($O$27*(Load!$BM$46+Load!$BO$46*RAND()))/100</f>
        <v>245.24432220706814</v>
      </c>
      <c r="P36" s="286"/>
      <c r="Q36" s="16">
        <v>0</v>
      </c>
      <c r="R36" s="280">
        <f ca="1">$R$27+($R$27*2*(0.5-RAND()))/100</f>
        <v>4.3396068853841134</v>
      </c>
      <c r="S36" s="280"/>
      <c r="T36" s="290">
        <v>0</v>
      </c>
      <c r="U36" s="290"/>
      <c r="V36" s="5"/>
    </row>
    <row r="37" spans="2:22" s="3" customFormat="1">
      <c r="B37" s="280">
        <f>$B$25</f>
        <v>0</v>
      </c>
      <c r="C37" s="280"/>
      <c r="D37" s="17">
        <f>$D$25</f>
        <v>2</v>
      </c>
      <c r="E37" s="280">
        <f>$E$25</f>
        <v>1</v>
      </c>
      <c r="F37" s="280"/>
      <c r="G37" s="280"/>
      <c r="H37" s="18">
        <f>$H$25</f>
        <v>1</v>
      </c>
      <c r="I37" s="280">
        <v>0</v>
      </c>
      <c r="J37" s="280"/>
      <c r="K37" s="14"/>
      <c r="L37" s="14"/>
      <c r="M37" s="14"/>
      <c r="N37" s="14"/>
      <c r="O37" s="293">
        <v>0</v>
      </c>
      <c r="P37" s="293"/>
      <c r="Q37" s="14"/>
      <c r="R37" s="14"/>
      <c r="S37" s="14"/>
      <c r="T37" s="14"/>
      <c r="U37" s="14"/>
      <c r="V37" s="5"/>
    </row>
    <row r="38" spans="2:22" s="3" customFormat="1">
      <c r="B38" s="280">
        <f>$B$26</f>
        <v>0</v>
      </c>
      <c r="C38" s="280"/>
      <c r="D38" s="124">
        <f>$D$26</f>
        <v>4.5</v>
      </c>
      <c r="E38" s="280">
        <f>$E$26</f>
        <v>0</v>
      </c>
      <c r="F38" s="280"/>
      <c r="G38" s="280"/>
      <c r="H38" s="16">
        <f>$H$26</f>
        <v>0</v>
      </c>
      <c r="I38" s="280">
        <v>0</v>
      </c>
      <c r="J38" s="280"/>
      <c r="K38" s="14"/>
      <c r="L38" s="14"/>
      <c r="M38" s="14"/>
      <c r="N38" s="13" t="s">
        <v>46</v>
      </c>
      <c r="O38" s="279">
        <v>0</v>
      </c>
      <c r="P38" s="279"/>
      <c r="Q38" s="14"/>
      <c r="R38" s="14"/>
      <c r="S38" s="14"/>
      <c r="T38" s="14"/>
      <c r="U38" s="14"/>
      <c r="V38" s="5"/>
    </row>
    <row r="39" spans="2:22" s="3" customFormat="1">
      <c r="B39" s="286">
        <f>ROUND($B$27,0)</f>
        <v>0</v>
      </c>
      <c r="C39" s="286"/>
      <c r="D39" s="21">
        <f>ROUND(($D$27),0)</f>
        <v>1270</v>
      </c>
      <c r="E39" s="286">
        <f>ROUND($E$27,0)</f>
        <v>718</v>
      </c>
      <c r="F39" s="286">
        <f t="shared" ref="F39:G39" si="9">F$27</f>
        <v>0</v>
      </c>
      <c r="G39" s="286">
        <f t="shared" si="9"/>
        <v>0</v>
      </c>
      <c r="H39" s="21">
        <f>ROUND($H$27,0)</f>
        <v>1124</v>
      </c>
      <c r="I39" s="286">
        <f>$I$27</f>
        <v>0</v>
      </c>
      <c r="J39" s="286">
        <f t="shared" ref="J39" si="10">J$27</f>
        <v>0</v>
      </c>
      <c r="K39" s="21">
        <f>$K$27</f>
        <v>566.66666666666674</v>
      </c>
      <c r="L39" s="21">
        <f>$L$27</f>
        <v>0</v>
      </c>
      <c r="M39" s="21">
        <f>$M$27</f>
        <v>166.66666666666669</v>
      </c>
      <c r="N39" s="25">
        <f>$N$27</f>
        <v>0</v>
      </c>
      <c r="O39" s="286">
        <f>$O$27</f>
        <v>243.3308860416667</v>
      </c>
      <c r="P39" s="286">
        <f t="shared" ref="P39" si="11">P$27</f>
        <v>0</v>
      </c>
      <c r="Q39" s="16">
        <f>$Q$27</f>
        <v>0</v>
      </c>
      <c r="R39" s="280">
        <f>$R$27</f>
        <v>4.3333333333333339</v>
      </c>
      <c r="S39" s="280">
        <f t="shared" ref="S39" si="12">S$27</f>
        <v>0</v>
      </c>
      <c r="T39" s="289">
        <f>$T$27</f>
        <v>0</v>
      </c>
      <c r="U39" s="289">
        <f t="shared" ref="U39" si="13">U$27</f>
        <v>0</v>
      </c>
      <c r="V39" s="5"/>
    </row>
    <row r="40" spans="2:22" s="3" customFormat="1">
      <c r="B40" s="286">
        <f ca="1">$B$27+($B$27*1*(0.5-RAND()))/100</f>
        <v>0</v>
      </c>
      <c r="C40" s="286"/>
      <c r="D40" s="21">
        <f ca="1">$D$27+($D$27*1*(0.5-RAND()))/100</f>
        <v>1265.3255533393676</v>
      </c>
      <c r="E40" s="286">
        <f ca="1">$E$27+($E$27*1*(0.5-RAND()))/100</f>
        <v>716.50483419835177</v>
      </c>
      <c r="F40" s="286"/>
      <c r="G40" s="286"/>
      <c r="H40" s="21">
        <f ca="1">$H$27+($H$27*1*(0.5-RAND()))/100</f>
        <v>1120.20987985637</v>
      </c>
      <c r="I40" s="286">
        <f ca="1">$I$27+($I$27*1*(0.5-RAND()))/100</f>
        <v>0</v>
      </c>
      <c r="J40" s="286"/>
      <c r="K40" s="21">
        <f ca="1">$K$27+($K$27*2*(0.5-RAND()))/100</f>
        <v>572.05316643058632</v>
      </c>
      <c r="L40" s="21">
        <f ca="1">$L$27+($L$27*2*(0.5-RAND()))/100</f>
        <v>0</v>
      </c>
      <c r="M40" s="21">
        <f ca="1">$M$27+($M$27*2*(0.5-RAND()))/100</f>
        <v>167.21437984353975</v>
      </c>
      <c r="N40" s="25">
        <v>0</v>
      </c>
      <c r="O40" s="286">
        <f ca="1">$O$27+($O$27*(Load!$BM$46+Load!$BO$46*RAND()))/100</f>
        <v>246.44993734238955</v>
      </c>
      <c r="P40" s="286"/>
      <c r="Q40" s="16">
        <v>0</v>
      </c>
      <c r="R40" s="280">
        <f ca="1">$R$27+($R$27*2*(0.5-RAND()))/100</f>
        <v>4.3344675040404921</v>
      </c>
      <c r="S40" s="280"/>
      <c r="T40" s="290">
        <v>0</v>
      </c>
      <c r="U40" s="290"/>
      <c r="V40" s="5"/>
    </row>
    <row r="41" spans="2:22" s="3" customFormat="1">
      <c r="B41" s="280">
        <f>$B$25</f>
        <v>0</v>
      </c>
      <c r="C41" s="280"/>
      <c r="D41" s="17">
        <f>$D$25</f>
        <v>2</v>
      </c>
      <c r="E41" s="280">
        <f>$E$25</f>
        <v>1</v>
      </c>
      <c r="F41" s="280"/>
      <c r="G41" s="280"/>
      <c r="H41" s="18">
        <f>$H$25</f>
        <v>1</v>
      </c>
      <c r="I41" s="280">
        <v>0</v>
      </c>
      <c r="J41" s="280"/>
      <c r="K41" s="14"/>
      <c r="L41" s="14"/>
      <c r="M41" s="14"/>
      <c r="N41" s="14"/>
      <c r="O41" s="293">
        <v>0</v>
      </c>
      <c r="P41" s="293"/>
      <c r="Q41" s="14"/>
      <c r="R41" s="14"/>
      <c r="S41" s="14"/>
      <c r="T41" s="14"/>
      <c r="U41" s="14"/>
      <c r="V41" s="5"/>
    </row>
    <row r="42" spans="2:22" s="3" customFormat="1">
      <c r="B42" s="280">
        <f>$B$26</f>
        <v>0</v>
      </c>
      <c r="C42" s="280"/>
      <c r="D42" s="124">
        <f>$D$26</f>
        <v>4.5</v>
      </c>
      <c r="E42" s="280">
        <f>$E$26</f>
        <v>0</v>
      </c>
      <c r="F42" s="280"/>
      <c r="G42" s="280"/>
      <c r="H42" s="16">
        <f>$H$26</f>
        <v>0</v>
      </c>
      <c r="I42" s="280">
        <v>0</v>
      </c>
      <c r="J42" s="280"/>
      <c r="K42" s="14"/>
      <c r="L42" s="14"/>
      <c r="M42" s="14"/>
      <c r="N42" s="13" t="s">
        <v>46</v>
      </c>
      <c r="O42" s="279">
        <v>0</v>
      </c>
      <c r="P42" s="279"/>
      <c r="Q42" s="14"/>
      <c r="R42" s="14"/>
      <c r="S42" s="14"/>
      <c r="T42" s="14"/>
      <c r="U42" s="14"/>
      <c r="V42" s="5"/>
    </row>
    <row r="43" spans="2:22" s="3" customFormat="1">
      <c r="B43" s="286">
        <f>ROUND($B$27,0)</f>
        <v>0</v>
      </c>
      <c r="C43" s="286"/>
      <c r="D43" s="21">
        <f>ROUND(($D$27),0)</f>
        <v>1270</v>
      </c>
      <c r="E43" s="286">
        <f>ROUND($E$27,0)</f>
        <v>718</v>
      </c>
      <c r="F43" s="286">
        <f t="shared" ref="F43:G43" si="14">F$27</f>
        <v>0</v>
      </c>
      <c r="G43" s="286">
        <f t="shared" si="14"/>
        <v>0</v>
      </c>
      <c r="H43" s="21">
        <f>ROUND($H$27,0)</f>
        <v>1124</v>
      </c>
      <c r="I43" s="286">
        <f>$I$27</f>
        <v>0</v>
      </c>
      <c r="J43" s="286">
        <f t="shared" ref="J43" si="15">J$27</f>
        <v>0</v>
      </c>
      <c r="K43" s="21">
        <f>$K$27</f>
        <v>566.66666666666674</v>
      </c>
      <c r="L43" s="21">
        <f>$L$27</f>
        <v>0</v>
      </c>
      <c r="M43" s="21">
        <f>$M$27</f>
        <v>166.66666666666669</v>
      </c>
      <c r="N43" s="25">
        <f>$N$27</f>
        <v>0</v>
      </c>
      <c r="O43" s="286">
        <f>$O$27</f>
        <v>243.3308860416667</v>
      </c>
      <c r="P43" s="286">
        <f t="shared" ref="P43" si="16">P$27</f>
        <v>0</v>
      </c>
      <c r="Q43" s="16">
        <f>$Q$27</f>
        <v>0</v>
      </c>
      <c r="R43" s="280">
        <f>$R$27</f>
        <v>4.3333333333333339</v>
      </c>
      <c r="S43" s="280">
        <f t="shared" ref="S43" si="17">S$27</f>
        <v>0</v>
      </c>
      <c r="T43" s="289">
        <f>$T$27</f>
        <v>0</v>
      </c>
      <c r="U43" s="289">
        <f t="shared" ref="U43" si="18">U$27</f>
        <v>0</v>
      </c>
      <c r="V43" s="5"/>
    </row>
    <row r="44" spans="2:22" s="3" customFormat="1">
      <c r="B44" s="286">
        <f ca="1">$B$27+($B$27*1*(0.5-RAND()))/100</f>
        <v>0</v>
      </c>
      <c r="C44" s="286"/>
      <c r="D44" s="21">
        <f ca="1">$D$27+($D$27*1*(0.5-RAND()))/100</f>
        <v>1266.3476025256036</v>
      </c>
      <c r="E44" s="286">
        <f ca="1">$E$27+($E$27*1*(0.5-RAND()))/100</f>
        <v>714.95324809700776</v>
      </c>
      <c r="F44" s="286"/>
      <c r="G44" s="286"/>
      <c r="H44" s="21">
        <f ca="1">$H$27+($H$27*1*(0.5-RAND()))/100</f>
        <v>1120.2925035080261</v>
      </c>
      <c r="I44" s="286">
        <f ca="1">$I$27+($I$27*1*(0.5-RAND()))/100</f>
        <v>0</v>
      </c>
      <c r="J44" s="286"/>
      <c r="K44" s="21">
        <f ca="1">$K$27+($K$27*2*(0.5-RAND()))/100</f>
        <v>562.68501505860434</v>
      </c>
      <c r="L44" s="21">
        <f ca="1">$L$27+($L$27*2*(0.5-RAND()))/100</f>
        <v>0</v>
      </c>
      <c r="M44" s="21">
        <f ca="1">$M$27+($M$27*2*(0.5-RAND()))/100</f>
        <v>166.12574287203131</v>
      </c>
      <c r="N44" s="25">
        <v>0</v>
      </c>
      <c r="O44" s="286">
        <f ca="1">$O$27+($O$27*(Load!$BM$46+Load!$BO$46*RAND()))/100</f>
        <v>241.60113214833493</v>
      </c>
      <c r="P44" s="286"/>
      <c r="Q44" s="16">
        <v>0</v>
      </c>
      <c r="R44" s="280">
        <f ca="1">$R$27+($R$27*2*(0.5-RAND()))/100</f>
        <v>4.3605614724254362</v>
      </c>
      <c r="S44" s="280"/>
      <c r="T44" s="290">
        <v>0</v>
      </c>
      <c r="U44" s="290"/>
      <c r="V44" s="5"/>
    </row>
    <row r="45" spans="2:22" s="3" customFormat="1">
      <c r="B45" s="280">
        <f>$B$25</f>
        <v>0</v>
      </c>
      <c r="C45" s="280"/>
      <c r="D45" s="17">
        <f>$D$25</f>
        <v>2</v>
      </c>
      <c r="E45" s="280">
        <f>$E$25</f>
        <v>1</v>
      </c>
      <c r="F45" s="280"/>
      <c r="G45" s="280"/>
      <c r="H45" s="18">
        <f>$H$25</f>
        <v>1</v>
      </c>
      <c r="I45" s="280">
        <v>0</v>
      </c>
      <c r="J45" s="280"/>
      <c r="K45" s="14"/>
      <c r="L45" s="14"/>
      <c r="M45" s="14"/>
      <c r="N45" s="14"/>
      <c r="O45" s="293">
        <v>0</v>
      </c>
      <c r="P45" s="293"/>
      <c r="Q45" s="14"/>
      <c r="R45" s="14"/>
      <c r="S45" s="14"/>
      <c r="T45" s="14"/>
      <c r="U45" s="14"/>
      <c r="V45" s="5"/>
    </row>
    <row r="46" spans="2:22" s="3" customFormat="1">
      <c r="B46" s="280">
        <f>$B$26</f>
        <v>0</v>
      </c>
      <c r="C46" s="280"/>
      <c r="D46" s="124">
        <f>$D$26</f>
        <v>4.5</v>
      </c>
      <c r="E46" s="280">
        <f>$E$26</f>
        <v>0</v>
      </c>
      <c r="F46" s="280"/>
      <c r="G46" s="280"/>
      <c r="H46" s="16">
        <f>$H$26</f>
        <v>0</v>
      </c>
      <c r="I46" s="280">
        <v>0</v>
      </c>
      <c r="J46" s="280"/>
      <c r="K46" s="14"/>
      <c r="L46" s="14"/>
      <c r="M46" s="14"/>
      <c r="N46" s="13" t="s">
        <v>46</v>
      </c>
      <c r="O46" s="279">
        <v>0</v>
      </c>
      <c r="P46" s="279"/>
      <c r="Q46" s="14"/>
      <c r="R46" s="14"/>
      <c r="S46" s="14"/>
      <c r="T46" s="14"/>
      <c r="U46" s="14"/>
      <c r="V46" s="5"/>
    </row>
    <row r="47" spans="2:22" s="3" customFormat="1">
      <c r="B47" s="286">
        <f>ROUND($B$27,0)</f>
        <v>0</v>
      </c>
      <c r="C47" s="286"/>
      <c r="D47" s="21">
        <f>ROUND(($D$27),0)</f>
        <v>1270</v>
      </c>
      <c r="E47" s="286">
        <f>ROUND($E$27,0)</f>
        <v>718</v>
      </c>
      <c r="F47" s="286">
        <f t="shared" ref="F47:G47" si="19">F$27</f>
        <v>0</v>
      </c>
      <c r="G47" s="286">
        <f t="shared" si="19"/>
        <v>0</v>
      </c>
      <c r="H47" s="21">
        <f>ROUND($H$27,0)</f>
        <v>1124</v>
      </c>
      <c r="I47" s="286">
        <f>$I$27</f>
        <v>0</v>
      </c>
      <c r="J47" s="286">
        <f t="shared" ref="J47" si="20">J$27</f>
        <v>0</v>
      </c>
      <c r="K47" s="21">
        <f>$K$27</f>
        <v>566.66666666666674</v>
      </c>
      <c r="L47" s="21">
        <f>$L$27</f>
        <v>0</v>
      </c>
      <c r="M47" s="21">
        <f>$M$27</f>
        <v>166.66666666666669</v>
      </c>
      <c r="N47" s="25">
        <f>$N$27</f>
        <v>0</v>
      </c>
      <c r="O47" s="286">
        <f>$O$27</f>
        <v>243.3308860416667</v>
      </c>
      <c r="P47" s="286">
        <f t="shared" ref="P47" si="21">P$27</f>
        <v>0</v>
      </c>
      <c r="Q47" s="16">
        <f>$Q$27</f>
        <v>0</v>
      </c>
      <c r="R47" s="280">
        <f>$R$27</f>
        <v>4.3333333333333339</v>
      </c>
      <c r="S47" s="280">
        <f t="shared" ref="S47" si="22">S$27</f>
        <v>0</v>
      </c>
      <c r="T47" s="289">
        <f>$T$27</f>
        <v>0</v>
      </c>
      <c r="U47" s="289">
        <f t="shared" ref="U47" si="23">U$27</f>
        <v>0</v>
      </c>
      <c r="V47" s="5"/>
    </row>
    <row r="48" spans="2:22" s="3" customFormat="1">
      <c r="B48" s="286">
        <f ca="1">$B$27+($B$27*1*(0.5-RAND()))/100</f>
        <v>0</v>
      </c>
      <c r="C48" s="286"/>
      <c r="D48" s="21">
        <f ca="1">$D$27+($D$27*1*(0.5-RAND()))/100</f>
        <v>1271.7665719191291</v>
      </c>
      <c r="E48" s="286">
        <f ca="1">$E$27+($E$27*1*(0.5-RAND()))/100</f>
        <v>719.57905028264213</v>
      </c>
      <c r="F48" s="286"/>
      <c r="G48" s="286"/>
      <c r="H48" s="21">
        <f ca="1">$H$27+($H$27*1*(0.5-RAND()))/100</f>
        <v>1119.9205046373606</v>
      </c>
      <c r="I48" s="286">
        <f ca="1">$I$27+($I$27*1*(0.5-RAND()))/100</f>
        <v>0</v>
      </c>
      <c r="J48" s="286"/>
      <c r="K48" s="21">
        <f ca="1">$K$27+($K$27*2*(0.5-RAND()))/100</f>
        <v>565.26277280284307</v>
      </c>
      <c r="L48" s="21">
        <f ca="1">$L$27+($L$27*2*(0.5-RAND()))/100</f>
        <v>0</v>
      </c>
      <c r="M48" s="21">
        <f ca="1">$M$27+($M$27*2*(0.5-RAND()))/100</f>
        <v>165.60751519312882</v>
      </c>
      <c r="N48" s="25">
        <v>0</v>
      </c>
      <c r="O48" s="286">
        <f ca="1">$O$27+($O$27*(Load!$BM$46+Load!$BO$46*RAND()))/100</f>
        <v>247.85612081826861</v>
      </c>
      <c r="P48" s="286"/>
      <c r="Q48" s="16">
        <v>0</v>
      </c>
      <c r="R48" s="280">
        <f ca="1">$R$27+($R$27*2*(0.5-RAND()))/100</f>
        <v>4.3249807221742111</v>
      </c>
      <c r="S48" s="280"/>
      <c r="T48" s="290">
        <v>0</v>
      </c>
      <c r="U48" s="290"/>
      <c r="V48" s="5"/>
    </row>
    <row r="49" spans="2:21" s="4" customFormat="1" ht="18" customHeight="1">
      <c r="B49" s="22" t="s">
        <v>47</v>
      </c>
      <c r="C49" s="22"/>
      <c r="D49" s="23"/>
      <c r="E49" s="24"/>
      <c r="F49" s="24"/>
      <c r="G49" s="24"/>
      <c r="H49" s="23"/>
      <c r="I49" s="24"/>
      <c r="J49" s="24"/>
      <c r="K49" s="23"/>
      <c r="L49" s="23"/>
      <c r="M49" s="23"/>
      <c r="N49" s="28" t="s">
        <v>48</v>
      </c>
      <c r="O49" s="288">
        <v>0</v>
      </c>
      <c r="P49" s="288"/>
      <c r="Q49" s="23"/>
      <c r="R49" s="23"/>
      <c r="S49" s="23"/>
      <c r="T49" s="23"/>
      <c r="U49" s="23"/>
    </row>
    <row r="50" spans="2:21" s="3" customFormat="1" ht="17.5" customHeight="1">
      <c r="B50" s="285">
        <f>B47+B43+B39+B35+B31+B27</f>
        <v>0</v>
      </c>
      <c r="C50" s="285"/>
      <c r="D50" s="21">
        <f>ROUND((D47+D43+D39+D35+D31+D27),0)</f>
        <v>7620</v>
      </c>
      <c r="E50" s="286">
        <f>E47+E43+E39+E35+E31+E27</f>
        <v>4307.8225000000002</v>
      </c>
      <c r="F50" s="286"/>
      <c r="G50" s="286"/>
      <c r="H50" s="21">
        <f>H47+H43+H39+H35+H31+H27</f>
        <v>6743.7635</v>
      </c>
      <c r="I50" s="286">
        <f>I47+I43+I39+I35+I31+I27</f>
        <v>0</v>
      </c>
      <c r="J50" s="286"/>
      <c r="K50" s="21">
        <f>K47+K43+K39+K35+K31+K27</f>
        <v>3400.0000000000009</v>
      </c>
      <c r="L50" s="21">
        <f>L47+L43+L39+L35+L31+L27</f>
        <v>0</v>
      </c>
      <c r="M50" s="21">
        <f>M47+M43+M39+M35+M31+M27</f>
        <v>1000.0000000000002</v>
      </c>
      <c r="N50" s="21">
        <v>0</v>
      </c>
      <c r="O50" s="287">
        <f>O47+O43+O39+O35+O31+O27</f>
        <v>1459.9853162500001</v>
      </c>
      <c r="P50" s="287"/>
      <c r="Q50" s="35">
        <f>Q47+Q43+Q39+Q35+Q31+Q27</f>
        <v>0</v>
      </c>
      <c r="R50" s="284">
        <f>R47+R43+R39+R35+R31+R27</f>
        <v>26.000000000000007</v>
      </c>
      <c r="S50" s="284"/>
      <c r="T50" s="284">
        <f>T47+T43+T39+T35+T31+T27</f>
        <v>0</v>
      </c>
      <c r="U50" s="284"/>
    </row>
    <row r="51" spans="2:21" s="3" customFormat="1" ht="22" customHeight="1">
      <c r="B51" s="2" t="s">
        <v>49</v>
      </c>
      <c r="C51" s="5"/>
      <c r="D51" s="14"/>
      <c r="E51" s="17"/>
      <c r="F51" s="17"/>
      <c r="G51" s="17"/>
      <c r="H51" s="14"/>
      <c r="I51" s="17"/>
      <c r="J51" s="17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</row>
    <row r="52" spans="2:21" s="3" customFormat="1" ht="17.5" customHeight="1">
      <c r="B52" s="285">
        <f ca="1">B48+B44+B40+B36+B32+B28</f>
        <v>0</v>
      </c>
      <c r="C52" s="285"/>
      <c r="D52" s="21">
        <f ca="1">D48+D44+D40+D36+D32+D28</f>
        <v>7610.9457263893146</v>
      </c>
      <c r="E52" s="286">
        <f ca="1">E48+E44+E40+E36+E32+E28</f>
        <v>4304.9630585744326</v>
      </c>
      <c r="F52" s="286"/>
      <c r="G52" s="286"/>
      <c r="H52" s="21">
        <f ca="1">H48+H44+H40+H36+H32+H28</f>
        <v>6736.3390926681041</v>
      </c>
      <c r="I52" s="286">
        <f ca="1">I48+I44+I40+I36+I32+I28</f>
        <v>0</v>
      </c>
      <c r="J52" s="286"/>
      <c r="K52" s="21">
        <f ca="1">K48+K44+K40+K36+K32+K28</f>
        <v>3394.1246246914238</v>
      </c>
      <c r="L52" s="21">
        <f ca="1">L48+L44+L40+L36+L32+L28</f>
        <v>0</v>
      </c>
      <c r="M52" s="21">
        <f ca="1">M48+M44+M40+M36+M32+M28</f>
        <v>1000.6142031811542</v>
      </c>
      <c r="N52" s="21">
        <f ca="1">N48+N44+N40+N36+N32+N28</f>
        <v>0</v>
      </c>
      <c r="O52" s="287">
        <f ca="1">O48+O44+O40+O36+O32+O28</f>
        <v>1475.8984146503915</v>
      </c>
      <c r="P52" s="287"/>
      <c r="Q52" s="35">
        <f>Q48+Q44+Q40+Q36+Q32+Q28</f>
        <v>0</v>
      </c>
      <c r="R52" s="284">
        <f ca="1">R48+R44+R40+R36+R32+R28</f>
        <v>26.018529790731904</v>
      </c>
      <c r="S52" s="284"/>
      <c r="T52" s="284">
        <f t="shared" ref="T52:U52" si="24">T48+T44+T40+T36+T32+T28</f>
        <v>0</v>
      </c>
      <c r="U52" s="284">
        <f t="shared" si="24"/>
        <v>0</v>
      </c>
    </row>
    <row r="53" spans="2:21" s="3" customFormat="1" ht="2.5" customHeight="1">
      <c r="B53" s="283"/>
      <c r="C53" s="283"/>
      <c r="D53" s="283"/>
      <c r="E53" s="283"/>
      <c r="F53" s="283"/>
      <c r="G53" s="283"/>
      <c r="H53" s="283"/>
      <c r="I53" s="283"/>
      <c r="J53" s="283"/>
      <c r="K53" s="283"/>
      <c r="L53" s="283"/>
      <c r="M53" s="283"/>
      <c r="N53" s="283"/>
      <c r="O53" s="283"/>
      <c r="P53" s="283"/>
      <c r="Q53" s="283"/>
      <c r="R53" s="283"/>
      <c r="S53" s="283"/>
      <c r="T53" s="283"/>
      <c r="U53" s="283"/>
    </row>
    <row r="54" spans="2:21" s="3" customFormat="1" ht="9.65" customHeight="1">
      <c r="B54" s="5"/>
      <c r="C54" s="5"/>
      <c r="D54" s="26"/>
      <c r="E54" s="17"/>
      <c r="F54" s="17"/>
      <c r="G54" s="17"/>
      <c r="H54" s="26"/>
      <c r="I54" s="17"/>
      <c r="J54" s="17"/>
      <c r="K54" s="26"/>
      <c r="L54" s="26"/>
      <c r="M54" s="26"/>
      <c r="N54" s="26"/>
      <c r="O54" s="26"/>
      <c r="P54" s="26"/>
      <c r="Q54" s="36"/>
      <c r="S54" s="26"/>
      <c r="T54" s="26"/>
      <c r="U54" s="26"/>
    </row>
    <row r="55" spans="2:21" s="3" customFormat="1">
      <c r="B55" s="5"/>
      <c r="C55" s="5"/>
      <c r="D55" s="26"/>
      <c r="E55" s="17"/>
      <c r="F55" s="17"/>
      <c r="G55" s="17"/>
      <c r="H55" s="26"/>
      <c r="I55" s="17"/>
      <c r="J55" s="17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</row>
    <row r="56" spans="2:21" s="3" customFormat="1">
      <c r="B56" s="5"/>
      <c r="C56" s="5"/>
      <c r="D56" s="26"/>
      <c r="E56" s="17"/>
      <c r="F56" s="17"/>
      <c r="G56" s="17"/>
      <c r="H56" s="26"/>
      <c r="I56" s="17"/>
      <c r="J56" s="17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</row>
    <row r="57" spans="2:21" s="3" customFormat="1">
      <c r="B57" s="5"/>
      <c r="C57" s="5"/>
      <c r="D57" s="26"/>
      <c r="E57" s="17"/>
      <c r="F57" s="17"/>
      <c r="G57" s="17"/>
      <c r="H57" s="26"/>
      <c r="I57" s="17"/>
      <c r="J57" s="17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</row>
    <row r="58" spans="2:21" s="3" customFormat="1">
      <c r="B58" s="5"/>
      <c r="C58" s="5"/>
      <c r="D58" s="26"/>
      <c r="E58" s="17"/>
      <c r="F58" s="17"/>
      <c r="G58" s="17"/>
      <c r="H58" s="26"/>
      <c r="I58" s="17"/>
      <c r="J58" s="17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</row>
    <row r="59" spans="2:21" s="3" customFormat="1">
      <c r="B59" s="279"/>
      <c r="C59" s="279"/>
      <c r="D59" s="26"/>
      <c r="E59" s="280"/>
      <c r="F59" s="280"/>
      <c r="G59" s="280"/>
      <c r="H59" s="26"/>
      <c r="I59" s="280"/>
      <c r="J59" s="280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</row>
    <row r="60" spans="2:21" s="3" customFormat="1">
      <c r="B60" s="279"/>
      <c r="C60" s="279"/>
      <c r="D60" s="26"/>
      <c r="E60" s="280"/>
      <c r="F60" s="280"/>
      <c r="G60" s="280"/>
      <c r="H60" s="26"/>
      <c r="I60" s="280"/>
      <c r="J60" s="280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</row>
    <row r="61" spans="2:21" s="3" customFormat="1">
      <c r="B61" s="279"/>
      <c r="C61" s="279"/>
      <c r="D61" s="26"/>
      <c r="E61" s="26"/>
      <c r="F61" s="26"/>
      <c r="G61" s="26"/>
      <c r="H61" s="26"/>
      <c r="I61" s="280"/>
      <c r="J61" s="280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</row>
    <row r="62" spans="2:21" s="3" customFormat="1">
      <c r="B62" s="279"/>
      <c r="C62" s="279"/>
      <c r="D62" s="26"/>
      <c r="E62" s="26"/>
      <c r="F62" s="26"/>
      <c r="G62" s="26"/>
      <c r="H62" s="26"/>
      <c r="I62" s="280"/>
      <c r="J62" s="280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</row>
    <row r="63" spans="2:21" s="3" customFormat="1">
      <c r="B63" s="279"/>
      <c r="C63" s="279"/>
      <c r="D63" s="26"/>
      <c r="E63" s="26"/>
      <c r="F63" s="26"/>
      <c r="G63" s="26"/>
      <c r="H63" s="26"/>
      <c r="I63" s="280"/>
      <c r="J63" s="280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</row>
    <row r="64" spans="2:21" s="3" customFormat="1">
      <c r="B64" s="279"/>
      <c r="C64" s="279"/>
      <c r="D64" s="26"/>
      <c r="E64" s="26"/>
      <c r="F64" s="26"/>
      <c r="G64" s="26"/>
      <c r="H64" s="26"/>
      <c r="I64" s="280"/>
      <c r="J64" s="280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</row>
    <row r="65" spans="2:21" s="3" customFormat="1">
      <c r="B65" s="26"/>
      <c r="C65" s="26"/>
      <c r="D65" s="26"/>
      <c r="E65" s="26"/>
      <c r="F65" s="26"/>
      <c r="G65" s="26"/>
      <c r="H65" s="26"/>
      <c r="I65" s="281"/>
      <c r="J65" s="281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</row>
    <row r="66" spans="2:21"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</row>
    <row r="67" spans="2:21"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</row>
    <row r="68" spans="2:21"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</row>
    <row r="69" spans="2:21"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</row>
    <row r="70" spans="2:21"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</row>
    <row r="71" spans="2:21"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</row>
    <row r="72" spans="2:21"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</row>
    <row r="73" spans="2:21"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</row>
    <row r="74" spans="2:21"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</row>
    <row r="75" spans="2:21"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</row>
    <row r="76" spans="2:21"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</row>
  </sheetData>
  <sheetProtection selectLockedCells="1"/>
  <mergeCells count="174">
    <mergeCell ref="B2:U2"/>
    <mergeCell ref="B7:U7"/>
    <mergeCell ref="G8:J8"/>
    <mergeCell ref="P8:R8"/>
    <mergeCell ref="S8:T8"/>
    <mergeCell ref="G9:J9"/>
    <mergeCell ref="G10:J10"/>
    <mergeCell ref="B20:J20"/>
    <mergeCell ref="K20:M20"/>
    <mergeCell ref="N20:P20"/>
    <mergeCell ref="R20:U20"/>
    <mergeCell ref="J11:K11"/>
    <mergeCell ref="B21:C21"/>
    <mergeCell ref="E21:G21"/>
    <mergeCell ref="I21:J21"/>
    <mergeCell ref="O21:P21"/>
    <mergeCell ref="R21:S21"/>
    <mergeCell ref="T21:U21"/>
    <mergeCell ref="B23:C23"/>
    <mergeCell ref="E23:G23"/>
    <mergeCell ref="I23:J23"/>
    <mergeCell ref="O23:P23"/>
    <mergeCell ref="R23:S23"/>
    <mergeCell ref="T23:U23"/>
    <mergeCell ref="B25:C25"/>
    <mergeCell ref="E25:G25"/>
    <mergeCell ref="I25:J25"/>
    <mergeCell ref="O25:P25"/>
    <mergeCell ref="B26:C26"/>
    <mergeCell ref="E26:G26"/>
    <mergeCell ref="I26:J26"/>
    <mergeCell ref="O26:P26"/>
    <mergeCell ref="B27:C27"/>
    <mergeCell ref="E27:G27"/>
    <mergeCell ref="I27:J27"/>
    <mergeCell ref="O27:P27"/>
    <mergeCell ref="R27:S27"/>
    <mergeCell ref="T27:U27"/>
    <mergeCell ref="B28:C28"/>
    <mergeCell ref="E28:G28"/>
    <mergeCell ref="I28:J28"/>
    <mergeCell ref="O28:P28"/>
    <mergeCell ref="R28:S28"/>
    <mergeCell ref="T28:U28"/>
    <mergeCell ref="B29:C29"/>
    <mergeCell ref="E29:G29"/>
    <mergeCell ref="I29:J29"/>
    <mergeCell ref="O29:P29"/>
    <mergeCell ref="B30:C30"/>
    <mergeCell ref="E30:G30"/>
    <mergeCell ref="I30:J30"/>
    <mergeCell ref="O30:P30"/>
    <mergeCell ref="B31:C31"/>
    <mergeCell ref="E31:G31"/>
    <mergeCell ref="I31:J31"/>
    <mergeCell ref="O31:P31"/>
    <mergeCell ref="R31:S31"/>
    <mergeCell ref="T31:U31"/>
    <mergeCell ref="B32:C32"/>
    <mergeCell ref="E32:G32"/>
    <mergeCell ref="I32:J32"/>
    <mergeCell ref="O32:P32"/>
    <mergeCell ref="R32:S32"/>
    <mergeCell ref="T32:U32"/>
    <mergeCell ref="B33:C33"/>
    <mergeCell ref="E33:G33"/>
    <mergeCell ref="I33:J33"/>
    <mergeCell ref="O33:P33"/>
    <mergeCell ref="B34:C34"/>
    <mergeCell ref="E34:G34"/>
    <mergeCell ref="I34:J34"/>
    <mergeCell ref="O34:P34"/>
    <mergeCell ref="B35:C35"/>
    <mergeCell ref="E35:G35"/>
    <mergeCell ref="I35:J35"/>
    <mergeCell ref="O35:P35"/>
    <mergeCell ref="R35:S35"/>
    <mergeCell ref="T35:U35"/>
    <mergeCell ref="B36:C36"/>
    <mergeCell ref="E36:G36"/>
    <mergeCell ref="I36:J36"/>
    <mergeCell ref="O36:P36"/>
    <mergeCell ref="R36:S36"/>
    <mergeCell ref="T36:U36"/>
    <mergeCell ref="B37:C37"/>
    <mergeCell ref="E37:G37"/>
    <mergeCell ref="I37:J37"/>
    <mergeCell ref="O37:P37"/>
    <mergeCell ref="B38:C38"/>
    <mergeCell ref="E38:G38"/>
    <mergeCell ref="I38:J38"/>
    <mergeCell ref="O38:P38"/>
    <mergeCell ref="B39:C39"/>
    <mergeCell ref="E39:G39"/>
    <mergeCell ref="I39:J39"/>
    <mergeCell ref="O39:P39"/>
    <mergeCell ref="R39:S39"/>
    <mergeCell ref="O42:P42"/>
    <mergeCell ref="B43:C43"/>
    <mergeCell ref="E43:G43"/>
    <mergeCell ref="I43:J43"/>
    <mergeCell ref="O43:P43"/>
    <mergeCell ref="R43:S43"/>
    <mergeCell ref="T39:U39"/>
    <mergeCell ref="B40:C40"/>
    <mergeCell ref="E40:G40"/>
    <mergeCell ref="I40:J40"/>
    <mergeCell ref="O40:P40"/>
    <mergeCell ref="R40:S40"/>
    <mergeCell ref="T40:U40"/>
    <mergeCell ref="B41:C41"/>
    <mergeCell ref="E41:G41"/>
    <mergeCell ref="I41:J41"/>
    <mergeCell ref="O41:P41"/>
    <mergeCell ref="R47:S47"/>
    <mergeCell ref="T43:U43"/>
    <mergeCell ref="B44:C44"/>
    <mergeCell ref="E44:G44"/>
    <mergeCell ref="I44:J44"/>
    <mergeCell ref="O44:P44"/>
    <mergeCell ref="R44:S44"/>
    <mergeCell ref="T44:U44"/>
    <mergeCell ref="B45:C45"/>
    <mergeCell ref="E45:G45"/>
    <mergeCell ref="I45:J45"/>
    <mergeCell ref="O45:P45"/>
    <mergeCell ref="R52:S52"/>
    <mergeCell ref="T52:U52"/>
    <mergeCell ref="B53:U53"/>
    <mergeCell ref="B59:C59"/>
    <mergeCell ref="E59:G59"/>
    <mergeCell ref="I59:J59"/>
    <mergeCell ref="T47:U47"/>
    <mergeCell ref="B48:C48"/>
    <mergeCell ref="E48:G48"/>
    <mergeCell ref="I48:J48"/>
    <mergeCell ref="O48:P48"/>
    <mergeCell ref="R48:S48"/>
    <mergeCell ref="T48:U48"/>
    <mergeCell ref="O49:P49"/>
    <mergeCell ref="B50:C50"/>
    <mergeCell ref="E50:G50"/>
    <mergeCell ref="I50:J50"/>
    <mergeCell ref="O50:P50"/>
    <mergeCell ref="R50:S50"/>
    <mergeCell ref="T50:U50"/>
    <mergeCell ref="B47:C47"/>
    <mergeCell ref="E47:G47"/>
    <mergeCell ref="I47:J47"/>
    <mergeCell ref="O47:P47"/>
    <mergeCell ref="B64:C64"/>
    <mergeCell ref="I64:J64"/>
    <mergeCell ref="I65:J65"/>
    <mergeCell ref="E3:Q4"/>
    <mergeCell ref="B60:C60"/>
    <mergeCell ref="E60:G60"/>
    <mergeCell ref="I60:J60"/>
    <mergeCell ref="B61:C61"/>
    <mergeCell ref="I61:J61"/>
    <mergeCell ref="B62:C62"/>
    <mergeCell ref="I62:J62"/>
    <mergeCell ref="B63:C63"/>
    <mergeCell ref="I63:J63"/>
    <mergeCell ref="B52:C52"/>
    <mergeCell ref="E52:G52"/>
    <mergeCell ref="I52:J52"/>
    <mergeCell ref="O52:P52"/>
    <mergeCell ref="B46:C46"/>
    <mergeCell ref="E46:G46"/>
    <mergeCell ref="I46:J46"/>
    <mergeCell ref="O46:P46"/>
    <mergeCell ref="B42:C42"/>
    <mergeCell ref="E42:G42"/>
    <mergeCell ref="I42:J42"/>
  </mergeCells>
  <printOptions horizontalCentered="1"/>
  <pageMargins left="3.9370078740157501E-2" right="3.9370078740157501E-2" top="0.12" bottom="0.12" header="0.12" footer="0.12"/>
  <pageSetup scale="94" orientation="portrait" horizontalDpi="360" verticalDpi="36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B1:V80"/>
  <sheetViews>
    <sheetView showGridLines="0" topLeftCell="AC19" workbookViewId="0">
      <selection activeCell="AP40" sqref="AP40"/>
    </sheetView>
  </sheetViews>
  <sheetFormatPr defaultColWidth="8.7265625" defaultRowHeight="14"/>
  <cols>
    <col min="1" max="1" width="8.7265625" style="5"/>
    <col min="2" max="2" width="2.453125" style="5" customWidth="1"/>
    <col min="3" max="3" width="4.7265625" style="5" customWidth="1"/>
    <col min="4" max="4" width="6.453125" style="5" customWidth="1"/>
    <col min="5" max="7" width="2.54296875" style="5" customWidth="1"/>
    <col min="8" max="8" width="7.453125" style="5" customWidth="1"/>
    <col min="9" max="9" width="2.7265625" style="5" customWidth="1"/>
    <col min="10" max="10" width="4.1796875" style="5" customWidth="1"/>
    <col min="11" max="13" width="8.1796875" style="5" customWidth="1"/>
    <col min="14" max="14" width="9.54296875" style="5" customWidth="1"/>
    <col min="15" max="16" width="4.54296875" style="5" customWidth="1"/>
    <col min="17" max="17" width="10.453125" style="5" customWidth="1"/>
    <col min="18" max="19" width="4.7265625" style="5" customWidth="1"/>
    <col min="20" max="20" width="7.1796875" style="5" customWidth="1"/>
    <col min="21" max="21" width="3.26953125" style="5" customWidth="1"/>
    <col min="22" max="22" width="6.453125" style="5" customWidth="1"/>
    <col min="23" max="16384" width="8.7265625" style="5"/>
  </cols>
  <sheetData>
    <row r="1" spans="2:21" ht="8.15" customHeight="1"/>
    <row r="2" spans="2:21" ht="20">
      <c r="B2" s="300" t="s">
        <v>22</v>
      </c>
      <c r="C2" s="300"/>
      <c r="D2" s="300"/>
      <c r="E2" s="300"/>
      <c r="F2" s="300"/>
      <c r="G2" s="300"/>
      <c r="H2" s="300"/>
      <c r="I2" s="300"/>
      <c r="J2" s="300"/>
      <c r="K2" s="300"/>
      <c r="L2" s="300"/>
      <c r="M2" s="300"/>
      <c r="N2" s="300"/>
      <c r="O2" s="300"/>
      <c r="P2" s="300"/>
      <c r="Q2" s="300"/>
      <c r="R2" s="300"/>
      <c r="S2" s="300"/>
      <c r="T2" s="300"/>
      <c r="U2" s="300"/>
    </row>
    <row r="3" spans="2:21" ht="16" customHeight="1">
      <c r="E3" s="282" t="s">
        <v>23</v>
      </c>
      <c r="F3" s="282"/>
      <c r="G3" s="282"/>
      <c r="H3" s="282"/>
      <c r="I3" s="282"/>
      <c r="J3" s="282"/>
      <c r="K3" s="282"/>
      <c r="L3" s="282"/>
      <c r="M3" s="282"/>
      <c r="N3" s="282"/>
      <c r="O3" s="282"/>
      <c r="P3" s="282"/>
      <c r="Q3" s="282"/>
    </row>
    <row r="4" spans="2:21" ht="16" customHeight="1">
      <c r="E4" s="282"/>
      <c r="F4" s="282"/>
      <c r="G4" s="282"/>
      <c r="H4" s="282"/>
      <c r="I4" s="282"/>
      <c r="J4" s="282"/>
      <c r="K4" s="282"/>
      <c r="L4" s="282"/>
      <c r="M4" s="282"/>
      <c r="N4" s="282"/>
      <c r="O4" s="282"/>
      <c r="P4" s="282"/>
      <c r="Q4" s="282"/>
    </row>
    <row r="5" spans="2:21" ht="16.5" customHeight="1">
      <c r="D5" s="5" t="s">
        <v>24</v>
      </c>
    </row>
    <row r="6" spans="2:21">
      <c r="D6" s="5" t="s">
        <v>25</v>
      </c>
    </row>
    <row r="7" spans="2:21" ht="21.65" customHeight="1">
      <c r="B7" s="296" t="s">
        <v>26</v>
      </c>
      <c r="C7" s="296"/>
      <c r="D7" s="296"/>
      <c r="E7" s="296"/>
      <c r="F7" s="296"/>
      <c r="G7" s="296"/>
      <c r="H7" s="296"/>
      <c r="I7" s="296"/>
      <c r="J7" s="296"/>
      <c r="K7" s="296"/>
      <c r="L7" s="296"/>
      <c r="M7" s="296"/>
      <c r="N7" s="296"/>
      <c r="O7" s="296"/>
      <c r="P7" s="296"/>
      <c r="Q7" s="296"/>
      <c r="R7" s="296"/>
      <c r="S7" s="296"/>
      <c r="T7" s="296"/>
      <c r="U7" s="296"/>
    </row>
    <row r="8" spans="2:21" s="2" customFormat="1" ht="18.649999999999999" customHeight="1">
      <c r="B8" s="6" t="s">
        <v>27</v>
      </c>
      <c r="C8" s="6"/>
      <c r="D8" s="7"/>
      <c r="E8" s="7"/>
      <c r="F8" s="8" t="s">
        <v>28</v>
      </c>
      <c r="G8" s="301">
        <f>Load!J17</f>
        <v>46218</v>
      </c>
      <c r="H8" s="301"/>
      <c r="I8" s="301"/>
      <c r="J8" s="301"/>
      <c r="K8" s="7"/>
      <c r="L8" s="7"/>
      <c r="M8" s="7"/>
      <c r="N8" s="7"/>
      <c r="O8" s="7"/>
      <c r="P8" s="302" t="s">
        <v>29</v>
      </c>
      <c r="Q8" s="302"/>
      <c r="R8" s="302"/>
      <c r="S8" s="303">
        <v>160</v>
      </c>
      <c r="T8" s="303"/>
      <c r="U8" s="7"/>
    </row>
    <row r="9" spans="2:21">
      <c r="B9" s="9" t="s">
        <v>3</v>
      </c>
      <c r="C9" s="9"/>
      <c r="D9" s="10"/>
      <c r="E9" s="10"/>
      <c r="F9" s="11" t="s">
        <v>28</v>
      </c>
      <c r="G9" s="298">
        <f>Load!K19</f>
        <v>0.50232638888888892</v>
      </c>
      <c r="H9" s="298"/>
      <c r="I9" s="298"/>
      <c r="J9" s="298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</row>
    <row r="10" spans="2:21">
      <c r="B10" s="9" t="s">
        <v>31</v>
      </c>
      <c r="C10" s="9"/>
      <c r="D10" s="10"/>
      <c r="E10" s="10"/>
      <c r="F10" s="11" t="s">
        <v>28</v>
      </c>
      <c r="G10" s="298">
        <f>Load!K21</f>
        <v>0.51138888888888889</v>
      </c>
      <c r="H10" s="298"/>
      <c r="I10" s="298"/>
      <c r="J10" s="298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</row>
    <row r="11" spans="2:21" s="2" customFormat="1" ht="20.149999999999999" customHeight="1">
      <c r="B11" s="7"/>
      <c r="C11" s="6" t="s">
        <v>0</v>
      </c>
      <c r="D11" s="7"/>
      <c r="E11" s="7"/>
      <c r="F11" s="7"/>
      <c r="G11" s="7"/>
      <c r="H11" s="7"/>
      <c r="I11" s="6" t="s">
        <v>28</v>
      </c>
      <c r="J11" s="299">
        <f>Load!AN26</f>
        <v>8338</v>
      </c>
      <c r="K11" s="299"/>
      <c r="L11" s="7"/>
      <c r="M11" s="7"/>
      <c r="N11" s="7"/>
      <c r="O11" s="7"/>
      <c r="P11" s="6" t="s">
        <v>1</v>
      </c>
      <c r="Q11" s="7"/>
      <c r="R11" s="7"/>
      <c r="S11" s="6" t="s">
        <v>28</v>
      </c>
      <c r="T11" s="29">
        <f>Load!BN26</f>
        <v>45</v>
      </c>
      <c r="U11" s="30" t="s">
        <v>32</v>
      </c>
    </row>
    <row r="12" spans="2:21" ht="16" customHeight="1">
      <c r="B12" s="10"/>
      <c r="C12" s="9" t="s">
        <v>5</v>
      </c>
      <c r="D12" s="10"/>
      <c r="E12" s="10"/>
      <c r="F12" s="10"/>
      <c r="G12" s="10"/>
      <c r="H12" s="10"/>
      <c r="I12" s="6" t="s">
        <v>28</v>
      </c>
      <c r="J12" s="10" t="str">
        <f>Load!M26</f>
        <v>JHEERNNODHARA SAMITHI ANANTHAPURAM</v>
      </c>
      <c r="K12" s="10"/>
      <c r="L12" s="10"/>
      <c r="M12" s="10"/>
      <c r="N12" s="10"/>
      <c r="O12" s="10"/>
      <c r="P12" s="9" t="s">
        <v>2</v>
      </c>
      <c r="Q12" s="10"/>
      <c r="R12" s="10"/>
      <c r="S12" s="6" t="s">
        <v>28</v>
      </c>
      <c r="T12" s="29">
        <f>Load!AO29</f>
        <v>10</v>
      </c>
      <c r="U12" s="30" t="s">
        <v>32</v>
      </c>
    </row>
    <row r="13" spans="2:21" ht="16" customHeight="1">
      <c r="B13" s="10"/>
      <c r="C13" s="9" t="s">
        <v>7</v>
      </c>
      <c r="D13" s="10"/>
      <c r="E13" s="10"/>
      <c r="F13" s="10"/>
      <c r="G13" s="10"/>
      <c r="H13" s="10"/>
      <c r="I13" s="6" t="s">
        <v>28</v>
      </c>
      <c r="J13" s="10" t="str">
        <f>Load!M34</f>
        <v>BOVIKANAM</v>
      </c>
      <c r="O13" s="10"/>
      <c r="P13" s="9" t="s">
        <v>4</v>
      </c>
      <c r="Q13" s="10"/>
      <c r="R13" s="10"/>
      <c r="S13" s="6" t="s">
        <v>28</v>
      </c>
      <c r="T13" s="29">
        <v>0</v>
      </c>
      <c r="U13" s="30" t="s">
        <v>32</v>
      </c>
    </row>
    <row r="14" spans="2:21" ht="16" customHeight="1">
      <c r="B14" s="10"/>
      <c r="C14" s="9" t="s">
        <v>9</v>
      </c>
      <c r="D14" s="10"/>
      <c r="E14" s="10"/>
      <c r="F14" s="10"/>
      <c r="G14" s="10"/>
      <c r="H14" s="10"/>
      <c r="I14" s="6" t="s">
        <v>28</v>
      </c>
      <c r="J14" s="10" t="str">
        <f>Load!M29</f>
        <v>M 40 A</v>
      </c>
      <c r="K14" s="10"/>
      <c r="L14" s="10"/>
      <c r="M14" s="10"/>
      <c r="N14" s="10"/>
      <c r="O14" s="10"/>
      <c r="P14" s="9" t="s">
        <v>6</v>
      </c>
      <c r="Q14" s="10"/>
      <c r="R14" s="10"/>
      <c r="S14" s="6" t="s">
        <v>28</v>
      </c>
      <c r="T14" s="29">
        <f>Load!BE26</f>
        <v>31</v>
      </c>
      <c r="U14" s="30" t="s">
        <v>32</v>
      </c>
    </row>
    <row r="15" spans="2:21" ht="16" customHeight="1">
      <c r="B15" s="10"/>
      <c r="C15" s="9" t="s">
        <v>10</v>
      </c>
      <c r="D15" s="10"/>
      <c r="E15" s="10"/>
      <c r="F15" s="10"/>
      <c r="G15" s="10"/>
      <c r="H15" s="10"/>
      <c r="I15" s="6" t="s">
        <v>28</v>
      </c>
      <c r="J15" s="10">
        <f>Load!M32</f>
        <v>0</v>
      </c>
      <c r="K15" s="10"/>
      <c r="L15" s="10"/>
      <c r="M15" s="10"/>
      <c r="N15" s="10"/>
      <c r="O15" s="10"/>
      <c r="P15" s="9" t="s">
        <v>33</v>
      </c>
      <c r="Q15" s="10"/>
      <c r="R15" s="10"/>
      <c r="S15" s="6" t="s">
        <v>28</v>
      </c>
      <c r="T15" s="29">
        <v>1</v>
      </c>
      <c r="U15" s="30" t="s">
        <v>32</v>
      </c>
    </row>
    <row r="16" spans="2:21" ht="16" customHeight="1">
      <c r="B16" s="10"/>
      <c r="C16" s="9" t="s">
        <v>12</v>
      </c>
      <c r="D16" s="10"/>
      <c r="E16" s="10"/>
      <c r="F16" s="10"/>
      <c r="G16" s="10"/>
      <c r="H16" s="10"/>
      <c r="I16" s="6" t="s">
        <v>28</v>
      </c>
      <c r="J16" s="10" t="str">
        <f>Load!BG29</f>
        <v>KL14 AF 2789</v>
      </c>
      <c r="K16" s="10"/>
      <c r="L16" s="10"/>
      <c r="M16" s="10"/>
      <c r="N16" s="10"/>
      <c r="O16" s="10"/>
      <c r="P16" s="9" t="s">
        <v>34</v>
      </c>
      <c r="Q16" s="10"/>
      <c r="R16" s="10"/>
      <c r="S16" s="6" t="s">
        <v>28</v>
      </c>
      <c r="T16" s="29">
        <f>T12/7</f>
        <v>1.4285714285714286</v>
      </c>
      <c r="U16" s="30" t="s">
        <v>32</v>
      </c>
    </row>
    <row r="17" spans="2:22" ht="16" customHeight="1">
      <c r="B17" s="10"/>
      <c r="C17" s="9" t="s">
        <v>11</v>
      </c>
      <c r="D17" s="10"/>
      <c r="E17" s="10"/>
      <c r="F17" s="10"/>
      <c r="G17" s="10"/>
      <c r="H17" s="10"/>
      <c r="I17" s="6" t="s">
        <v>28</v>
      </c>
      <c r="J17" s="10">
        <f>Load!AZ32</f>
        <v>0</v>
      </c>
      <c r="K17" s="10"/>
      <c r="L17" s="10"/>
      <c r="M17" s="10"/>
      <c r="N17" s="10"/>
      <c r="O17" s="10"/>
      <c r="P17" s="9" t="s">
        <v>35</v>
      </c>
      <c r="Q17" s="10"/>
      <c r="R17" s="10"/>
      <c r="S17" s="10"/>
      <c r="T17" s="10">
        <v>0</v>
      </c>
      <c r="U17" s="31" t="s">
        <v>36</v>
      </c>
    </row>
    <row r="18" spans="2:22">
      <c r="C18" s="9" t="s">
        <v>8</v>
      </c>
      <c r="D18" s="10"/>
      <c r="E18" s="10"/>
      <c r="F18" s="10"/>
      <c r="G18" s="10"/>
      <c r="H18" s="10"/>
      <c r="I18" s="6" t="s">
        <v>28</v>
      </c>
      <c r="J18" s="10">
        <f>Load!AZ34</f>
        <v>0</v>
      </c>
      <c r="K18" s="10"/>
      <c r="L18" s="10"/>
      <c r="M18" s="10"/>
      <c r="N18" s="10"/>
      <c r="O18" s="10"/>
    </row>
    <row r="19" spans="2:22">
      <c r="C19" s="9" t="s">
        <v>37</v>
      </c>
      <c r="D19" s="10"/>
      <c r="E19" s="10"/>
      <c r="F19" s="10"/>
      <c r="G19" s="10"/>
      <c r="H19" s="10"/>
      <c r="I19" s="6" t="s">
        <v>28</v>
      </c>
      <c r="J19" s="10" t="s">
        <v>25</v>
      </c>
      <c r="K19" s="10"/>
      <c r="L19" s="10"/>
      <c r="M19" s="10"/>
      <c r="N19" s="10"/>
      <c r="O19" s="10"/>
    </row>
    <row r="20" spans="2:22" ht="22" customHeight="1">
      <c r="B20" s="296" t="s">
        <v>38</v>
      </c>
      <c r="C20" s="296"/>
      <c r="D20" s="296"/>
      <c r="E20" s="296"/>
      <c r="F20" s="296"/>
      <c r="G20" s="296"/>
      <c r="H20" s="296"/>
      <c r="I20" s="296"/>
      <c r="J20" s="296"/>
      <c r="K20" s="296" t="s">
        <v>39</v>
      </c>
      <c r="L20" s="296"/>
      <c r="M20" s="296"/>
      <c r="N20" s="296" t="s">
        <v>40</v>
      </c>
      <c r="O20" s="296"/>
      <c r="P20" s="296"/>
      <c r="Q20" s="32" t="s">
        <v>41</v>
      </c>
      <c r="R20" s="296" t="s">
        <v>42</v>
      </c>
      <c r="S20" s="296"/>
      <c r="T20" s="296"/>
      <c r="U20" s="296"/>
    </row>
    <row r="21" spans="2:22" ht="14.5" customHeight="1">
      <c r="B21" s="297" t="str">
        <f>Load!W45</f>
        <v>M SAND</v>
      </c>
      <c r="C21" s="297"/>
      <c r="D21" s="12" t="str">
        <f>Load!AA45</f>
        <v xml:space="preserve">M SAND </v>
      </c>
      <c r="E21" s="293" t="str">
        <f>Load!AE45</f>
        <v>12 MM</v>
      </c>
      <c r="F21" s="293"/>
      <c r="G21" s="293"/>
      <c r="H21" s="14" t="str">
        <f>Load!AG45</f>
        <v>20 MM</v>
      </c>
      <c r="I21" s="293" t="str">
        <f>Load!AJ45</f>
        <v>0</v>
      </c>
      <c r="J21" s="293"/>
      <c r="K21" s="13" t="str">
        <f>Load!AL45</f>
        <v>CEM 1</v>
      </c>
      <c r="L21" s="13" t="str">
        <f>Load!AP45</f>
        <v>CEM 2</v>
      </c>
      <c r="M21" s="13" t="str">
        <f>Load!AR45</f>
        <v>CEM 3</v>
      </c>
      <c r="O21" s="293" t="str">
        <f>Load!BC45</f>
        <v>WATER</v>
      </c>
      <c r="P21" s="293"/>
      <c r="Q21" s="5" t="s">
        <v>43</v>
      </c>
      <c r="R21" s="297" t="str">
        <f>Load!AV45</f>
        <v>ADMIX1</v>
      </c>
      <c r="S21" s="297"/>
      <c r="T21" s="297" t="str">
        <f>Load!AY45</f>
        <v>ADMIX2</v>
      </c>
      <c r="U21" s="297"/>
    </row>
    <row r="22" spans="2:22">
      <c r="B22" s="10" t="s">
        <v>44</v>
      </c>
    </row>
    <row r="23" spans="2:22" s="2" customFormat="1" ht="20.5" customHeight="1">
      <c r="B23" s="294">
        <f>Load!W46</f>
        <v>0</v>
      </c>
      <c r="C23" s="294"/>
      <c r="D23" s="15">
        <f>Load!AA46</f>
        <v>743</v>
      </c>
      <c r="E23" s="295">
        <f>Load!AE46</f>
        <v>435</v>
      </c>
      <c r="F23" s="295"/>
      <c r="G23" s="295"/>
      <c r="H23" s="15">
        <f>Load!AG46</f>
        <v>681</v>
      </c>
      <c r="I23" s="295"/>
      <c r="J23" s="295"/>
      <c r="K23" s="27">
        <f>Load!AL46</f>
        <v>340</v>
      </c>
      <c r="L23" s="27">
        <f>Load!AP46</f>
        <v>0</v>
      </c>
      <c r="M23" s="27">
        <f>Load!AR46</f>
        <v>100</v>
      </c>
      <c r="N23" s="27">
        <v>0</v>
      </c>
      <c r="O23" s="294">
        <f>Load!BC46</f>
        <v>154</v>
      </c>
      <c r="P23" s="294"/>
      <c r="Q23" s="33">
        <v>0</v>
      </c>
      <c r="R23" s="292">
        <f>Load!AV46</f>
        <v>2.6</v>
      </c>
      <c r="S23" s="292"/>
      <c r="T23" s="292">
        <f>Load!AY46</f>
        <v>0</v>
      </c>
      <c r="U23" s="292"/>
    </row>
    <row r="24" spans="2:22" ht="20.149999999999999" customHeight="1">
      <c r="B24" s="5" t="s">
        <v>45</v>
      </c>
    </row>
    <row r="25" spans="2:22">
      <c r="B25" s="280">
        <f>Load!W47</f>
        <v>0</v>
      </c>
      <c r="C25" s="280"/>
      <c r="D25" s="17">
        <f>Load!AA47</f>
        <v>2</v>
      </c>
      <c r="E25" s="280">
        <f>Load!AE47</f>
        <v>1</v>
      </c>
      <c r="F25" s="280"/>
      <c r="G25" s="280"/>
      <c r="H25" s="18">
        <f>Load!AG47</f>
        <v>1</v>
      </c>
      <c r="I25" s="280">
        <v>0</v>
      </c>
      <c r="J25" s="280"/>
      <c r="K25" s="14"/>
      <c r="L25" s="14"/>
      <c r="M25" s="14"/>
      <c r="N25" s="14"/>
      <c r="O25" s="293">
        <v>0</v>
      </c>
      <c r="P25" s="293"/>
      <c r="Q25" s="14"/>
      <c r="R25" s="14"/>
      <c r="S25" s="14"/>
      <c r="T25" s="14"/>
      <c r="U25" s="14"/>
    </row>
    <row r="26" spans="2:22">
      <c r="B26" s="280">
        <f>Load!W48</f>
        <v>0</v>
      </c>
      <c r="C26" s="280"/>
      <c r="D26" s="124">
        <f>Load!AA48</f>
        <v>4.5</v>
      </c>
      <c r="E26" s="280">
        <f>Load!AE48</f>
        <v>0</v>
      </c>
      <c r="F26" s="280"/>
      <c r="G26" s="280"/>
      <c r="H26" s="16">
        <f>Load!AG48</f>
        <v>0</v>
      </c>
      <c r="I26" s="280">
        <v>0</v>
      </c>
      <c r="J26" s="280"/>
      <c r="K26" s="14"/>
      <c r="L26" s="14"/>
      <c r="M26" s="14"/>
      <c r="N26" s="13" t="s">
        <v>46</v>
      </c>
      <c r="O26" s="279">
        <v>0</v>
      </c>
      <c r="P26" s="279"/>
      <c r="Q26" s="14"/>
      <c r="R26" s="14"/>
      <c r="S26" s="14"/>
      <c r="T26" s="14"/>
      <c r="U26" s="14"/>
    </row>
    <row r="27" spans="2:22">
      <c r="B27" s="286">
        <f>(((B26-B25)*(B23*T16))/100)+(((B26-B25)*(((B26-B25)*(B23*T16))/100))/100)+(B23*T16)</f>
        <v>0</v>
      </c>
      <c r="C27" s="286">
        <f t="shared" ref="C27" si="0">(((C26-C25)*C23)/100)+(((C26-C25)*(((C26-C25)*C23)/100))/100)+C23</f>
        <v>0</v>
      </c>
      <c r="D27" s="20">
        <f>(((D26-D25)*(D23*T16))/100)+(((D26-D25)*(((D26-D25)*(D23*T16))/100))/100)+(D23*T16)</f>
        <v>1088.6276785714288</v>
      </c>
      <c r="E27" s="286">
        <f>(((E26-E25)*(E23*T16))/100)+(((E26-E25)*(((E26-E25)*(T16*E23))/100))/100)+(T16*E23)</f>
        <v>615.2764285714286</v>
      </c>
      <c r="F27" s="286">
        <f t="shared" ref="F27:G27" si="1">(((F26-F25)*F23)/100)+(((F26-F25)*(((F26-F25)*F23)/100))/100)+F23</f>
        <v>0</v>
      </c>
      <c r="G27" s="286">
        <f t="shared" si="1"/>
        <v>0</v>
      </c>
      <c r="H27" s="21">
        <f>(((H26-H25)*(T16*H23))/100)+(((H26-H25)*(((H26-H25)*(T16*H23))/100))/100)+(T16*H23)</f>
        <v>963.22585714285719</v>
      </c>
      <c r="I27" s="286">
        <f>(((I26-I25)*(T16*I23))/100)+(((I26-I25)*(((I26-I25)*(T16*I23))/100))/100)+(T16*I23)</f>
        <v>0</v>
      </c>
      <c r="J27" s="286">
        <f t="shared" ref="J27" si="2">(((J26-J25)*J23)/100)+(((J26-J25)*(((J26-J25)*J23)/100))/100)+J23</f>
        <v>0</v>
      </c>
      <c r="K27" s="21">
        <f>K23*T16</f>
        <v>485.71428571428572</v>
      </c>
      <c r="L27" s="21">
        <f>L23*T16</f>
        <v>0</v>
      </c>
      <c r="M27" s="21">
        <f>M23*T16</f>
        <v>142.85714285714286</v>
      </c>
      <c r="N27" s="25">
        <v>0</v>
      </c>
      <c r="O27" s="291">
        <f>(T16*O23)-(((B27*B26/100)-(B27*B25/100))+((D27*D26/100)-(D27*D25/100))+((E27*E26/100)-(E27*E25/100))+((H27*H26/100)-(H27*H25/100)))</f>
        <v>208.56933089285712</v>
      </c>
      <c r="P27" s="291"/>
      <c r="Q27" s="34">
        <v>0</v>
      </c>
      <c r="R27" s="280">
        <f>R23*T16</f>
        <v>3.7142857142857144</v>
      </c>
      <c r="S27" s="280"/>
      <c r="T27" s="289">
        <f>T23*T16</f>
        <v>0</v>
      </c>
      <c r="U27" s="289"/>
    </row>
    <row r="28" spans="2:22">
      <c r="B28" s="286">
        <f ca="1">$B$27+($B$27*1*(0.5-RAND()))/100</f>
        <v>0</v>
      </c>
      <c r="C28" s="286"/>
      <c r="D28" s="21">
        <f ca="1">$D$27+($D$27*1*(0.5-RAND()))/100</f>
        <v>1083.8565695586026</v>
      </c>
      <c r="E28" s="286">
        <f ca="1">$E$27+($E$27*1*(0.5-RAND()))/100</f>
        <v>615.91822631242314</v>
      </c>
      <c r="F28" s="286"/>
      <c r="G28" s="286"/>
      <c r="H28" s="21">
        <f ca="1">$H$27+($H$27*1*(0.5-RAND()))/100</f>
        <v>963.69409060075441</v>
      </c>
      <c r="I28" s="286">
        <f ca="1">$I$27+($I$27*1*(0.5-RAND()))/100</f>
        <v>0</v>
      </c>
      <c r="J28" s="286"/>
      <c r="K28" s="21">
        <f ca="1">$K$27+($K$27*2*(0.5-RAND()))/100</f>
        <v>482.80020322585415</v>
      </c>
      <c r="L28" s="21">
        <f ca="1">$L$27+($L$27*2*(0.5-RAND()))/100</f>
        <v>0</v>
      </c>
      <c r="M28" s="21">
        <f ca="1">$M$27+($M$27*2*(0.5-RAND()))/100</f>
        <v>142.466484576998</v>
      </c>
      <c r="N28" s="25">
        <f ca="1">N27+(N27*1*(0.5-RAND()))/100</f>
        <v>0</v>
      </c>
      <c r="O28" s="286">
        <f ca="1">$O$27+($O$27*(Load!$BM$46+Load!$BO$46*RAND()))/100</f>
        <v>210.83219377998421</v>
      </c>
      <c r="P28" s="286"/>
      <c r="Q28" s="34">
        <v>0</v>
      </c>
      <c r="R28" s="280">
        <f ca="1">$R$27+($R$27*2*(0.5-RAND()))/100</f>
        <v>3.7330408551902736</v>
      </c>
      <c r="S28" s="280"/>
      <c r="T28" s="290">
        <v>0</v>
      </c>
      <c r="U28" s="290"/>
    </row>
    <row r="29" spans="2:22">
      <c r="B29" s="280">
        <f>$B$25</f>
        <v>0</v>
      </c>
      <c r="C29" s="280"/>
      <c r="D29" s="17">
        <f>$D$25</f>
        <v>2</v>
      </c>
      <c r="E29" s="280">
        <f>$E$25</f>
        <v>1</v>
      </c>
      <c r="F29" s="280"/>
      <c r="G29" s="280"/>
      <c r="H29" s="18">
        <f>$H$25</f>
        <v>1</v>
      </c>
      <c r="I29" s="280">
        <v>0</v>
      </c>
      <c r="J29" s="280"/>
      <c r="K29" s="14"/>
      <c r="L29" s="14"/>
      <c r="M29" s="14"/>
      <c r="N29" s="14"/>
      <c r="O29" s="293">
        <v>0</v>
      </c>
      <c r="P29" s="293"/>
      <c r="Q29" s="14"/>
      <c r="R29" s="14"/>
      <c r="S29" s="14"/>
      <c r="T29" s="14"/>
      <c r="U29" s="14"/>
    </row>
    <row r="30" spans="2:22">
      <c r="B30" s="280">
        <f>$B$26</f>
        <v>0</v>
      </c>
      <c r="C30" s="280"/>
      <c r="D30" s="124">
        <f>$D$26</f>
        <v>4.5</v>
      </c>
      <c r="E30" s="280">
        <f>$E$26</f>
        <v>0</v>
      </c>
      <c r="F30" s="280"/>
      <c r="G30" s="280"/>
      <c r="H30" s="16">
        <f>$H$26</f>
        <v>0</v>
      </c>
      <c r="I30" s="280">
        <v>0</v>
      </c>
      <c r="J30" s="280"/>
      <c r="K30" s="14"/>
      <c r="L30" s="14"/>
      <c r="M30" s="14"/>
      <c r="N30" s="13" t="s">
        <v>46</v>
      </c>
      <c r="O30" s="279">
        <v>0</v>
      </c>
      <c r="P30" s="279"/>
      <c r="Q30" s="14"/>
      <c r="R30" s="14"/>
      <c r="S30" s="14"/>
      <c r="T30" s="14"/>
      <c r="U30" s="14"/>
    </row>
    <row r="31" spans="2:22" s="3" customFormat="1">
      <c r="B31" s="286">
        <f>ROUND($B$27,0)</f>
        <v>0</v>
      </c>
      <c r="C31" s="286"/>
      <c r="D31" s="21">
        <f>ROUND(($D$27),0)</f>
        <v>1089</v>
      </c>
      <c r="E31" s="286">
        <f>ROUND($E$27,0)</f>
        <v>615</v>
      </c>
      <c r="F31" s="286">
        <f t="shared" ref="F31:U31" si="3">F$27</f>
        <v>0</v>
      </c>
      <c r="G31" s="286">
        <f t="shared" si="3"/>
        <v>0</v>
      </c>
      <c r="H31" s="21">
        <f>ROUND($H$27,0)</f>
        <v>963</v>
      </c>
      <c r="I31" s="286">
        <f>$I$27</f>
        <v>0</v>
      </c>
      <c r="J31" s="286">
        <f t="shared" si="3"/>
        <v>0</v>
      </c>
      <c r="K31" s="21">
        <f>$K$27</f>
        <v>485.71428571428572</v>
      </c>
      <c r="L31" s="21">
        <f>$L$27</f>
        <v>0</v>
      </c>
      <c r="M31" s="21">
        <f>$M$27</f>
        <v>142.85714285714286</v>
      </c>
      <c r="N31" s="25">
        <f>$N$27</f>
        <v>0</v>
      </c>
      <c r="O31" s="286">
        <f>$O$27</f>
        <v>208.56933089285712</v>
      </c>
      <c r="P31" s="286">
        <f t="shared" si="3"/>
        <v>0</v>
      </c>
      <c r="Q31" s="34">
        <f>$Q$27</f>
        <v>0</v>
      </c>
      <c r="R31" s="280">
        <f>$R$27</f>
        <v>3.7142857142857144</v>
      </c>
      <c r="S31" s="280">
        <f t="shared" si="3"/>
        <v>0</v>
      </c>
      <c r="T31" s="289">
        <f>$T$27</f>
        <v>0</v>
      </c>
      <c r="U31" s="289">
        <f t="shared" si="3"/>
        <v>0</v>
      </c>
      <c r="V31" s="5"/>
    </row>
    <row r="32" spans="2:22" s="3" customFormat="1">
      <c r="B32" s="286">
        <f ca="1">$B$27+($B$27*1*(0.5-RAND()))/100</f>
        <v>0</v>
      </c>
      <c r="C32" s="286"/>
      <c r="D32" s="21">
        <f ca="1">$D$27+($D$27*1*(0.5-RAND()))/100</f>
        <v>1085.2828143496752</v>
      </c>
      <c r="E32" s="286">
        <f ca="1">$E$27+($E$27*1*(0.5-RAND()))/100</f>
        <v>618.33959346881454</v>
      </c>
      <c r="F32" s="286"/>
      <c r="G32" s="286"/>
      <c r="H32" s="21">
        <f ca="1">$H$27+($H$27*1*(0.5-RAND()))/100</f>
        <v>961.75495747914158</v>
      </c>
      <c r="I32" s="286">
        <f ca="1">$I$27+($I$27*1*(0.5-RAND()))/100</f>
        <v>0</v>
      </c>
      <c r="J32" s="286"/>
      <c r="K32" s="21">
        <f ca="1">$K$27+($K$27*2*(0.5-RAND()))/100</f>
        <v>485.57780414939475</v>
      </c>
      <c r="L32" s="21">
        <f ca="1">$L$27+($L$27*2*(0.5-RAND()))/100</f>
        <v>0</v>
      </c>
      <c r="M32" s="21">
        <f ca="1">$M$27+($M$27*2*(0.5-RAND()))/100</f>
        <v>141.66083282611731</v>
      </c>
      <c r="N32" s="25">
        <v>0</v>
      </c>
      <c r="O32" s="286">
        <f ca="1">$O$27+($O$27*(Load!$BM$46+Load!$BO$46*RAND()))/100</f>
        <v>206.4486400794776</v>
      </c>
      <c r="P32" s="286"/>
      <c r="Q32" s="16">
        <v>0</v>
      </c>
      <c r="R32" s="280">
        <f ca="1">$R$27+($R$27*2*(0.5-RAND()))/100</f>
        <v>3.7190178040586814</v>
      </c>
      <c r="S32" s="280"/>
      <c r="T32" s="290">
        <v>0</v>
      </c>
      <c r="U32" s="290"/>
      <c r="V32" s="5"/>
    </row>
    <row r="33" spans="2:22" s="3" customFormat="1">
      <c r="B33" s="280">
        <f>$B$25</f>
        <v>0</v>
      </c>
      <c r="C33" s="280"/>
      <c r="D33" s="17">
        <f>$D$25</f>
        <v>2</v>
      </c>
      <c r="E33" s="280">
        <f>$E$25</f>
        <v>1</v>
      </c>
      <c r="F33" s="280"/>
      <c r="G33" s="280"/>
      <c r="H33" s="18">
        <f>$H$25</f>
        <v>1</v>
      </c>
      <c r="I33" s="280">
        <v>0</v>
      </c>
      <c r="J33" s="280"/>
      <c r="K33" s="14"/>
      <c r="L33" s="14"/>
      <c r="M33" s="14"/>
      <c r="N33" s="14"/>
      <c r="O33" s="293">
        <v>0</v>
      </c>
      <c r="P33" s="293"/>
      <c r="Q33" s="14"/>
      <c r="R33" s="14"/>
      <c r="S33" s="14"/>
      <c r="T33" s="14"/>
      <c r="U33" s="14"/>
      <c r="V33" s="5"/>
    </row>
    <row r="34" spans="2:22" s="3" customFormat="1">
      <c r="B34" s="280">
        <f>$B$26</f>
        <v>0</v>
      </c>
      <c r="C34" s="280"/>
      <c r="D34" s="124">
        <f>$D$26</f>
        <v>4.5</v>
      </c>
      <c r="E34" s="280">
        <f>$E$26</f>
        <v>0</v>
      </c>
      <c r="F34" s="280"/>
      <c r="G34" s="280"/>
      <c r="H34" s="16">
        <f>$H$26</f>
        <v>0</v>
      </c>
      <c r="I34" s="280">
        <v>0</v>
      </c>
      <c r="J34" s="280"/>
      <c r="K34" s="14"/>
      <c r="L34" s="14"/>
      <c r="M34" s="14"/>
      <c r="N34" s="13" t="s">
        <v>46</v>
      </c>
      <c r="O34" s="279">
        <v>0</v>
      </c>
      <c r="P34" s="279"/>
      <c r="Q34" s="14"/>
      <c r="R34" s="14"/>
      <c r="S34" s="14"/>
      <c r="T34" s="14"/>
      <c r="U34" s="14"/>
      <c r="V34" s="5"/>
    </row>
    <row r="35" spans="2:22" s="3" customFormat="1">
      <c r="B35" s="286">
        <f>ROUND($B$27,0)</f>
        <v>0</v>
      </c>
      <c r="C35" s="286"/>
      <c r="D35" s="21">
        <f>ROUND(($D$27),0)</f>
        <v>1089</v>
      </c>
      <c r="E35" s="286">
        <f>ROUND($E$27,0)</f>
        <v>615</v>
      </c>
      <c r="F35" s="286">
        <f t="shared" ref="F35:G35" si="4">F$27</f>
        <v>0</v>
      </c>
      <c r="G35" s="286">
        <f t="shared" si="4"/>
        <v>0</v>
      </c>
      <c r="H35" s="21">
        <f>ROUND($H$27,0)</f>
        <v>963</v>
      </c>
      <c r="I35" s="286">
        <f>$I$27</f>
        <v>0</v>
      </c>
      <c r="J35" s="286">
        <f t="shared" ref="J35" si="5">J$27</f>
        <v>0</v>
      </c>
      <c r="K35" s="21">
        <f>$K$27</f>
        <v>485.71428571428572</v>
      </c>
      <c r="L35" s="21">
        <f>$L$27</f>
        <v>0</v>
      </c>
      <c r="M35" s="21">
        <f>$M$27</f>
        <v>142.85714285714286</v>
      </c>
      <c r="N35" s="25">
        <f>$N$27</f>
        <v>0</v>
      </c>
      <c r="O35" s="286">
        <f>$O$27</f>
        <v>208.56933089285712</v>
      </c>
      <c r="P35" s="286">
        <f t="shared" ref="P35" si="6">P$27</f>
        <v>0</v>
      </c>
      <c r="Q35" s="16">
        <f>$Q$27</f>
        <v>0</v>
      </c>
      <c r="R35" s="280">
        <f>$R$27</f>
        <v>3.7142857142857144</v>
      </c>
      <c r="S35" s="280">
        <f t="shared" ref="S35" si="7">S$27</f>
        <v>0</v>
      </c>
      <c r="T35" s="289">
        <f>$T$27</f>
        <v>0</v>
      </c>
      <c r="U35" s="289">
        <f t="shared" ref="U35" si="8">U$27</f>
        <v>0</v>
      </c>
      <c r="V35" s="5"/>
    </row>
    <row r="36" spans="2:22" s="3" customFormat="1">
      <c r="B36" s="286">
        <f ca="1">$B$27+($B$27*1*(0.5-RAND()))/100</f>
        <v>0</v>
      </c>
      <c r="C36" s="286"/>
      <c r="D36" s="21">
        <f ca="1">$D$27+($D$27*1*(0.5-RAND()))/100</f>
        <v>1090.4517902888617</v>
      </c>
      <c r="E36" s="286">
        <f ca="1">$E$27+($E$27*1*(0.5-RAND()))/100</f>
        <v>615.73404200806317</v>
      </c>
      <c r="F36" s="286"/>
      <c r="G36" s="286"/>
      <c r="H36" s="21">
        <f ca="1">$H$27+($H$27*1*(0.5-RAND()))/100</f>
        <v>962.07684803458028</v>
      </c>
      <c r="I36" s="286">
        <f ca="1">$I$27+($I$27*1*(0.5-RAND()))/100</f>
        <v>0</v>
      </c>
      <c r="J36" s="286"/>
      <c r="K36" s="21">
        <f ca="1">$K$27+($K$27*2*(0.5-RAND()))/100</f>
        <v>485.29542843325135</v>
      </c>
      <c r="L36" s="21">
        <f ca="1">$L$27+($L$27*2*(0.5-RAND()))/100</f>
        <v>0</v>
      </c>
      <c r="M36" s="21">
        <f ca="1">$M$27+($M$27*2*(0.5-RAND()))/100</f>
        <v>142.65776477630615</v>
      </c>
      <c r="N36" s="25">
        <v>0</v>
      </c>
      <c r="O36" s="286">
        <f ca="1">$O$27+($O$27*(Load!$BM$46+Load!$BO$46*RAND()))/100</f>
        <v>205.15613884727966</v>
      </c>
      <c r="P36" s="286"/>
      <c r="Q36" s="16">
        <v>0</v>
      </c>
      <c r="R36" s="280">
        <f ca="1">$R$27+($R$27*2*(0.5-RAND()))/100</f>
        <v>3.6916942815981724</v>
      </c>
      <c r="S36" s="280"/>
      <c r="T36" s="290">
        <v>0</v>
      </c>
      <c r="U36" s="290"/>
      <c r="V36" s="5"/>
    </row>
    <row r="37" spans="2:22" s="3" customFormat="1">
      <c r="B37" s="280">
        <f>$B$25</f>
        <v>0</v>
      </c>
      <c r="C37" s="280"/>
      <c r="D37" s="17">
        <f>$D$25</f>
        <v>2</v>
      </c>
      <c r="E37" s="280">
        <f>$E$25</f>
        <v>1</v>
      </c>
      <c r="F37" s="280"/>
      <c r="G37" s="280"/>
      <c r="H37" s="18">
        <f>$H$25</f>
        <v>1</v>
      </c>
      <c r="I37" s="280">
        <v>0</v>
      </c>
      <c r="J37" s="280"/>
      <c r="K37" s="14"/>
      <c r="L37" s="14"/>
      <c r="M37" s="14"/>
      <c r="N37" s="14"/>
      <c r="O37" s="293">
        <v>0</v>
      </c>
      <c r="P37" s="293"/>
      <c r="Q37" s="14"/>
      <c r="R37" s="14"/>
      <c r="S37" s="14"/>
      <c r="T37" s="14"/>
      <c r="U37" s="14"/>
      <c r="V37" s="5"/>
    </row>
    <row r="38" spans="2:22" s="3" customFormat="1">
      <c r="B38" s="280">
        <f>$B$26</f>
        <v>0</v>
      </c>
      <c r="C38" s="280"/>
      <c r="D38" s="124">
        <f>$D$26</f>
        <v>4.5</v>
      </c>
      <c r="E38" s="280">
        <f>$E$26</f>
        <v>0</v>
      </c>
      <c r="F38" s="280"/>
      <c r="G38" s="280"/>
      <c r="H38" s="16">
        <f>$H$26</f>
        <v>0</v>
      </c>
      <c r="I38" s="280">
        <v>0</v>
      </c>
      <c r="J38" s="280"/>
      <c r="K38" s="14"/>
      <c r="L38" s="14"/>
      <c r="M38" s="14"/>
      <c r="N38" s="13" t="s">
        <v>46</v>
      </c>
      <c r="O38" s="279">
        <v>0</v>
      </c>
      <c r="P38" s="279"/>
      <c r="Q38" s="14"/>
      <c r="R38" s="14"/>
      <c r="S38" s="14"/>
      <c r="T38" s="14"/>
      <c r="U38" s="14"/>
      <c r="V38" s="5"/>
    </row>
    <row r="39" spans="2:22" s="3" customFormat="1">
      <c r="B39" s="286">
        <f>ROUND($B$27,0)</f>
        <v>0</v>
      </c>
      <c r="C39" s="286"/>
      <c r="D39" s="21">
        <f>ROUND(($D$27),0)</f>
        <v>1089</v>
      </c>
      <c r="E39" s="286">
        <f>ROUND($E$27,0)</f>
        <v>615</v>
      </c>
      <c r="F39" s="286">
        <f t="shared" ref="F39:G39" si="9">F$27</f>
        <v>0</v>
      </c>
      <c r="G39" s="286">
        <f t="shared" si="9"/>
        <v>0</v>
      </c>
      <c r="H39" s="21">
        <f>ROUND($H$27,0)</f>
        <v>963</v>
      </c>
      <c r="I39" s="286">
        <f>$I$27</f>
        <v>0</v>
      </c>
      <c r="J39" s="286">
        <f t="shared" ref="J39" si="10">J$27</f>
        <v>0</v>
      </c>
      <c r="K39" s="21">
        <f>$K$27</f>
        <v>485.71428571428572</v>
      </c>
      <c r="L39" s="21">
        <f>$L$27</f>
        <v>0</v>
      </c>
      <c r="M39" s="21">
        <f>$M$27</f>
        <v>142.85714285714286</v>
      </c>
      <c r="N39" s="25">
        <f>$N$27</f>
        <v>0</v>
      </c>
      <c r="O39" s="286">
        <f>$O$27</f>
        <v>208.56933089285712</v>
      </c>
      <c r="P39" s="286">
        <f t="shared" ref="P39" si="11">P$27</f>
        <v>0</v>
      </c>
      <c r="Q39" s="16">
        <f>$Q$27</f>
        <v>0</v>
      </c>
      <c r="R39" s="280">
        <f>$R$27</f>
        <v>3.7142857142857144</v>
      </c>
      <c r="S39" s="280">
        <f t="shared" ref="S39" si="12">S$27</f>
        <v>0</v>
      </c>
      <c r="T39" s="289">
        <f>$T$27</f>
        <v>0</v>
      </c>
      <c r="U39" s="289">
        <f t="shared" ref="U39" si="13">U$27</f>
        <v>0</v>
      </c>
      <c r="V39" s="5"/>
    </row>
    <row r="40" spans="2:22" s="3" customFormat="1">
      <c r="B40" s="286">
        <f ca="1">$B$27+($B$27*1*(0.5-RAND()))/100</f>
        <v>0</v>
      </c>
      <c r="C40" s="286"/>
      <c r="D40" s="21">
        <f ca="1">$D$27+($D$27*1*(0.5-RAND()))/100</f>
        <v>1089.4360759463177</v>
      </c>
      <c r="E40" s="286">
        <f ca="1">$E$27+($E$27*1*(0.5-RAND()))/100</f>
        <v>615.41611294458289</v>
      </c>
      <c r="F40" s="286"/>
      <c r="G40" s="286"/>
      <c r="H40" s="21">
        <f ca="1">$H$27+($H$27*1*(0.5-RAND()))/100</f>
        <v>966.98578411094286</v>
      </c>
      <c r="I40" s="286">
        <f ca="1">$I$27+($I$27*1*(0.5-RAND()))/100</f>
        <v>0</v>
      </c>
      <c r="J40" s="286"/>
      <c r="K40" s="21">
        <f ca="1">$K$27+($K$27*2*(0.5-RAND()))/100</f>
        <v>485.46641517681462</v>
      </c>
      <c r="L40" s="21">
        <f ca="1">$L$27+($L$27*2*(0.5-RAND()))/100</f>
        <v>0</v>
      </c>
      <c r="M40" s="21">
        <f ca="1">$M$27+($M$27*2*(0.5-RAND()))/100</f>
        <v>141.67769906016281</v>
      </c>
      <c r="N40" s="25">
        <v>0</v>
      </c>
      <c r="O40" s="286">
        <f ca="1">$O$27+($O$27*(Load!$BM$46+Load!$BO$46*RAND()))/100</f>
        <v>212.49228618811108</v>
      </c>
      <c r="P40" s="286"/>
      <c r="Q40" s="16">
        <v>0</v>
      </c>
      <c r="R40" s="280">
        <f ca="1">$R$27+($R$27*2*(0.5-RAND()))/100</f>
        <v>3.7256776752801986</v>
      </c>
      <c r="S40" s="280"/>
      <c r="T40" s="290">
        <v>0</v>
      </c>
      <c r="U40" s="290"/>
      <c r="V40" s="5"/>
    </row>
    <row r="41" spans="2:22" s="3" customFormat="1">
      <c r="B41" s="280">
        <f>$B$25</f>
        <v>0</v>
      </c>
      <c r="C41" s="280"/>
      <c r="D41" s="17">
        <f>$D$25</f>
        <v>2</v>
      </c>
      <c r="E41" s="280">
        <f>$E$25</f>
        <v>1</v>
      </c>
      <c r="F41" s="280"/>
      <c r="G41" s="280"/>
      <c r="H41" s="18">
        <f>$H$25</f>
        <v>1</v>
      </c>
      <c r="I41" s="280">
        <v>0</v>
      </c>
      <c r="J41" s="280"/>
      <c r="K41" s="14"/>
      <c r="L41" s="14"/>
      <c r="M41" s="14"/>
      <c r="N41" s="14"/>
      <c r="O41" s="293">
        <v>0</v>
      </c>
      <c r="P41" s="293"/>
      <c r="Q41" s="14"/>
      <c r="R41" s="14"/>
      <c r="S41" s="14"/>
      <c r="T41" s="14"/>
      <c r="U41" s="14"/>
      <c r="V41" s="5"/>
    </row>
    <row r="42" spans="2:22" s="3" customFormat="1">
      <c r="B42" s="280">
        <f>$B$26</f>
        <v>0</v>
      </c>
      <c r="C42" s="280"/>
      <c r="D42" s="124">
        <f>$D$26</f>
        <v>4.5</v>
      </c>
      <c r="E42" s="280">
        <f>$E$26</f>
        <v>0</v>
      </c>
      <c r="F42" s="280"/>
      <c r="G42" s="280"/>
      <c r="H42" s="16">
        <f>$H$26</f>
        <v>0</v>
      </c>
      <c r="I42" s="280">
        <v>0</v>
      </c>
      <c r="J42" s="280"/>
      <c r="K42" s="14"/>
      <c r="L42" s="14"/>
      <c r="M42" s="14"/>
      <c r="N42" s="13" t="s">
        <v>46</v>
      </c>
      <c r="O42" s="279">
        <v>0</v>
      </c>
      <c r="P42" s="279"/>
      <c r="Q42" s="14"/>
      <c r="R42" s="14"/>
      <c r="S42" s="14"/>
      <c r="T42" s="14"/>
      <c r="U42" s="14"/>
      <c r="V42" s="5"/>
    </row>
    <row r="43" spans="2:22" s="3" customFormat="1">
      <c r="B43" s="286">
        <f>ROUND($B$27,0)</f>
        <v>0</v>
      </c>
      <c r="C43" s="286"/>
      <c r="D43" s="21">
        <f>ROUND(($D$27),0)</f>
        <v>1089</v>
      </c>
      <c r="E43" s="286">
        <f>ROUND($E$27,0)</f>
        <v>615</v>
      </c>
      <c r="F43" s="286">
        <f t="shared" ref="F43:G43" si="14">F$27</f>
        <v>0</v>
      </c>
      <c r="G43" s="286">
        <f t="shared" si="14"/>
        <v>0</v>
      </c>
      <c r="H43" s="21">
        <f>ROUND($H$27,0)</f>
        <v>963</v>
      </c>
      <c r="I43" s="286">
        <f>$I$27</f>
        <v>0</v>
      </c>
      <c r="J43" s="286">
        <f t="shared" ref="J43" si="15">J$27</f>
        <v>0</v>
      </c>
      <c r="K43" s="21">
        <f>$K$27</f>
        <v>485.71428571428572</v>
      </c>
      <c r="L43" s="21">
        <f>$L$27</f>
        <v>0</v>
      </c>
      <c r="M43" s="21">
        <f>$M$27</f>
        <v>142.85714285714286</v>
      </c>
      <c r="N43" s="25">
        <f>$N$27</f>
        <v>0</v>
      </c>
      <c r="O43" s="286">
        <f>$O$27</f>
        <v>208.56933089285712</v>
      </c>
      <c r="P43" s="286">
        <f t="shared" ref="P43" si="16">P$27</f>
        <v>0</v>
      </c>
      <c r="Q43" s="16">
        <f>$Q$27</f>
        <v>0</v>
      </c>
      <c r="R43" s="280">
        <f>$R$27</f>
        <v>3.7142857142857144</v>
      </c>
      <c r="S43" s="280">
        <f t="shared" ref="S43" si="17">S$27</f>
        <v>0</v>
      </c>
      <c r="T43" s="289">
        <f>$T$27</f>
        <v>0</v>
      </c>
      <c r="U43" s="289">
        <f t="shared" ref="U43" si="18">U$27</f>
        <v>0</v>
      </c>
      <c r="V43" s="5"/>
    </row>
    <row r="44" spans="2:22" s="3" customFormat="1">
      <c r="B44" s="286">
        <f ca="1">$B$27+($B$27*1*(0.5-RAND()))/100</f>
        <v>0</v>
      </c>
      <c r="C44" s="286"/>
      <c r="D44" s="21">
        <f ca="1">$D$27+($D$27*1*(0.5-RAND()))/100</f>
        <v>1093.3462910357534</v>
      </c>
      <c r="E44" s="286">
        <f ca="1">$E$27+($E$27*1*(0.5-RAND()))/100</f>
        <v>616.82890468360551</v>
      </c>
      <c r="F44" s="286"/>
      <c r="G44" s="286"/>
      <c r="H44" s="21">
        <f ca="1">$H$27+($H$27*1*(0.5-RAND()))/100</f>
        <v>959.33325401377272</v>
      </c>
      <c r="I44" s="286">
        <f ca="1">$I$27+($I$27*1*(0.5-RAND()))/100</f>
        <v>0</v>
      </c>
      <c r="J44" s="286"/>
      <c r="K44" s="21">
        <f ca="1">$K$27+($K$27*2*(0.5-RAND()))/100</f>
        <v>484.68612544019902</v>
      </c>
      <c r="L44" s="21">
        <f ca="1">$L$27+($L$27*2*(0.5-RAND()))/100</f>
        <v>0</v>
      </c>
      <c r="M44" s="21">
        <f ca="1">$M$27+($M$27*2*(0.5-RAND()))/100</f>
        <v>143.14725530630901</v>
      </c>
      <c r="N44" s="25">
        <v>0</v>
      </c>
      <c r="O44" s="286">
        <f ca="1">$O$27+($O$27*(Load!$BM$46+Load!$BO$46*RAND()))/100</f>
        <v>211.54759383983256</v>
      </c>
      <c r="P44" s="286"/>
      <c r="Q44" s="16">
        <v>0</v>
      </c>
      <c r="R44" s="280">
        <f ca="1">$R$27+($R$27*2*(0.5-RAND()))/100</f>
        <v>3.6951484371423575</v>
      </c>
      <c r="S44" s="280"/>
      <c r="T44" s="290">
        <v>0</v>
      </c>
      <c r="U44" s="290"/>
      <c r="V44" s="5"/>
    </row>
    <row r="45" spans="2:22" s="3" customFormat="1">
      <c r="B45" s="280">
        <f>$B$25</f>
        <v>0</v>
      </c>
      <c r="C45" s="280"/>
      <c r="D45" s="17">
        <f>$D$25</f>
        <v>2</v>
      </c>
      <c r="E45" s="280">
        <f>$E$25</f>
        <v>1</v>
      </c>
      <c r="F45" s="280"/>
      <c r="G45" s="280"/>
      <c r="H45" s="18">
        <f>$H$25</f>
        <v>1</v>
      </c>
      <c r="I45" s="280">
        <v>0</v>
      </c>
      <c r="J45" s="280"/>
      <c r="K45" s="14"/>
      <c r="L45" s="14"/>
      <c r="M45" s="14"/>
      <c r="N45" s="14"/>
      <c r="O45" s="293">
        <v>0</v>
      </c>
      <c r="P45" s="293"/>
      <c r="Q45" s="14"/>
      <c r="R45" s="14"/>
      <c r="S45" s="14"/>
      <c r="T45" s="14"/>
      <c r="U45" s="14"/>
      <c r="V45" s="5"/>
    </row>
    <row r="46" spans="2:22" s="3" customFormat="1">
      <c r="B46" s="280">
        <f>$B$26</f>
        <v>0</v>
      </c>
      <c r="C46" s="280"/>
      <c r="D46" s="124">
        <f>$D$26</f>
        <v>4.5</v>
      </c>
      <c r="E46" s="280">
        <f>$E$26</f>
        <v>0</v>
      </c>
      <c r="F46" s="280"/>
      <c r="G46" s="280"/>
      <c r="H46" s="16">
        <f>$H$26</f>
        <v>0</v>
      </c>
      <c r="I46" s="280">
        <v>0</v>
      </c>
      <c r="J46" s="280"/>
      <c r="K46" s="14"/>
      <c r="L46" s="14"/>
      <c r="M46" s="14"/>
      <c r="N46" s="13" t="s">
        <v>46</v>
      </c>
      <c r="O46" s="279">
        <v>0</v>
      </c>
      <c r="P46" s="279"/>
      <c r="Q46" s="14"/>
      <c r="R46" s="14"/>
      <c r="S46" s="14"/>
      <c r="T46" s="14"/>
      <c r="U46" s="14"/>
      <c r="V46" s="5"/>
    </row>
    <row r="47" spans="2:22" s="3" customFormat="1">
      <c r="B47" s="286">
        <f>ROUND($B$27,0)</f>
        <v>0</v>
      </c>
      <c r="C47" s="286"/>
      <c r="D47" s="21">
        <f>ROUND(($D$27),0)</f>
        <v>1089</v>
      </c>
      <c r="E47" s="286">
        <f>ROUND($E$27,0)</f>
        <v>615</v>
      </c>
      <c r="F47" s="286">
        <f t="shared" ref="F47:G47" si="19">F$27</f>
        <v>0</v>
      </c>
      <c r="G47" s="286">
        <f t="shared" si="19"/>
        <v>0</v>
      </c>
      <c r="H47" s="21">
        <f>ROUND($H$27,0)</f>
        <v>963</v>
      </c>
      <c r="I47" s="286">
        <f>$I$27</f>
        <v>0</v>
      </c>
      <c r="J47" s="286">
        <f t="shared" ref="J47" si="20">J$27</f>
        <v>0</v>
      </c>
      <c r="K47" s="21">
        <f>$K$27</f>
        <v>485.71428571428572</v>
      </c>
      <c r="L47" s="21">
        <f>$L$27</f>
        <v>0</v>
      </c>
      <c r="M47" s="21">
        <f>$M$27</f>
        <v>142.85714285714286</v>
      </c>
      <c r="N47" s="25">
        <f>$N$27</f>
        <v>0</v>
      </c>
      <c r="O47" s="286">
        <f>$O$27</f>
        <v>208.56933089285712</v>
      </c>
      <c r="P47" s="286">
        <f t="shared" ref="P47" si="21">P$27</f>
        <v>0</v>
      </c>
      <c r="Q47" s="16">
        <f>$Q$27</f>
        <v>0</v>
      </c>
      <c r="R47" s="280">
        <f>$R$27</f>
        <v>3.7142857142857144</v>
      </c>
      <c r="S47" s="280">
        <f t="shared" ref="S47" si="22">S$27</f>
        <v>0</v>
      </c>
      <c r="T47" s="289">
        <f>$T$27</f>
        <v>0</v>
      </c>
      <c r="U47" s="289">
        <f t="shared" ref="U47" si="23">U$27</f>
        <v>0</v>
      </c>
      <c r="V47" s="5"/>
    </row>
    <row r="48" spans="2:22" s="3" customFormat="1">
      <c r="B48" s="286">
        <f ca="1">$B$27+($B$27*1*(0.5-RAND()))/100</f>
        <v>0</v>
      </c>
      <c r="C48" s="286"/>
      <c r="D48" s="21">
        <f ca="1">$D$27+($D$27*1*(0.5-RAND()))/100</f>
        <v>1090.8526984655502</v>
      </c>
      <c r="E48" s="286">
        <f ca="1">$E$27+($E$27*1*(0.5-RAND()))/100</f>
        <v>613.75751775934657</v>
      </c>
      <c r="F48" s="286"/>
      <c r="G48" s="286"/>
      <c r="H48" s="21">
        <f ca="1">$H$27+($H$27*1*(0.5-RAND()))/100</f>
        <v>965.58827071194696</v>
      </c>
      <c r="I48" s="286">
        <f ca="1">$I$27+($I$27*1*(0.5-RAND()))/100</f>
        <v>0</v>
      </c>
      <c r="J48" s="286"/>
      <c r="K48" s="21">
        <f ca="1">$K$27+($K$27*2*(0.5-RAND()))/100</f>
        <v>487.9168276068869</v>
      </c>
      <c r="L48" s="21">
        <f ca="1">$L$27+($L$27*2*(0.5-RAND()))/100</f>
        <v>0</v>
      </c>
      <c r="M48" s="21">
        <f ca="1">$M$27+($M$27*2*(0.5-RAND()))/100</f>
        <v>144.27617874299418</v>
      </c>
      <c r="N48" s="25">
        <v>0</v>
      </c>
      <c r="O48" s="286">
        <f ca="1">$O$27+($O$27*(Load!$BM$46+Load!$BO$46*RAND()))/100</f>
        <v>212.12914133806308</v>
      </c>
      <c r="P48" s="286"/>
      <c r="Q48" s="16">
        <v>0</v>
      </c>
      <c r="R48" s="280">
        <f ca="1">$R$27+($R$27*2*(0.5-RAND()))/100</f>
        <v>3.6820561496900388</v>
      </c>
      <c r="S48" s="280"/>
      <c r="T48" s="290">
        <v>0</v>
      </c>
      <c r="U48" s="290"/>
      <c r="V48" s="5"/>
    </row>
    <row r="49" spans="2:22" s="3" customFormat="1">
      <c r="B49" s="280">
        <f>$B$25</f>
        <v>0</v>
      </c>
      <c r="C49" s="280"/>
      <c r="D49" s="17">
        <f>$D$25</f>
        <v>2</v>
      </c>
      <c r="E49" s="280">
        <f>$E$25</f>
        <v>1</v>
      </c>
      <c r="F49" s="280"/>
      <c r="G49" s="280"/>
      <c r="H49" s="18">
        <f>$H$25</f>
        <v>1</v>
      </c>
      <c r="I49" s="280">
        <v>0</v>
      </c>
      <c r="J49" s="280"/>
      <c r="K49" s="14"/>
      <c r="L49" s="14"/>
      <c r="M49" s="14"/>
      <c r="N49" s="14"/>
      <c r="O49" s="293">
        <v>0</v>
      </c>
      <c r="P49" s="293"/>
      <c r="Q49" s="14"/>
      <c r="R49" s="14"/>
      <c r="S49" s="14"/>
      <c r="T49" s="14"/>
      <c r="U49" s="14"/>
      <c r="V49" s="5"/>
    </row>
    <row r="50" spans="2:22" s="3" customFormat="1">
      <c r="B50" s="280">
        <f>$B$26</f>
        <v>0</v>
      </c>
      <c r="C50" s="280"/>
      <c r="D50" s="124">
        <f>$D$26</f>
        <v>4.5</v>
      </c>
      <c r="E50" s="280">
        <f>$E$26</f>
        <v>0</v>
      </c>
      <c r="F50" s="280"/>
      <c r="G50" s="280"/>
      <c r="H50" s="16">
        <f>$H$26</f>
        <v>0</v>
      </c>
      <c r="I50" s="280">
        <v>0</v>
      </c>
      <c r="J50" s="280"/>
      <c r="K50" s="14"/>
      <c r="L50" s="14"/>
      <c r="M50" s="14"/>
      <c r="N50" s="13" t="s">
        <v>46</v>
      </c>
      <c r="O50" s="279">
        <v>0</v>
      </c>
      <c r="P50" s="279"/>
      <c r="Q50" s="14"/>
      <c r="R50" s="14"/>
      <c r="S50" s="14"/>
      <c r="T50" s="14"/>
      <c r="U50" s="14"/>
      <c r="V50" s="5"/>
    </row>
    <row r="51" spans="2:22" s="3" customFormat="1">
      <c r="B51" s="286">
        <f>ROUND($B$27,0)</f>
        <v>0</v>
      </c>
      <c r="C51" s="286"/>
      <c r="D51" s="21">
        <f>ROUND(($D$27),0)</f>
        <v>1089</v>
      </c>
      <c r="E51" s="286">
        <f>ROUND($E$27,0)</f>
        <v>615</v>
      </c>
      <c r="F51" s="286">
        <f t="shared" ref="F51:G51" si="24">F$27</f>
        <v>0</v>
      </c>
      <c r="G51" s="286">
        <f t="shared" si="24"/>
        <v>0</v>
      </c>
      <c r="H51" s="21">
        <f>ROUND($H$27,0)</f>
        <v>963</v>
      </c>
      <c r="I51" s="286">
        <f>$I$27</f>
        <v>0</v>
      </c>
      <c r="J51" s="286">
        <f t="shared" ref="J51" si="25">J$27</f>
        <v>0</v>
      </c>
      <c r="K51" s="21">
        <f>$K$27</f>
        <v>485.71428571428572</v>
      </c>
      <c r="L51" s="21">
        <f>$L$27</f>
        <v>0</v>
      </c>
      <c r="M51" s="21">
        <f>$M$27</f>
        <v>142.85714285714286</v>
      </c>
      <c r="N51" s="25">
        <f>$N$27</f>
        <v>0</v>
      </c>
      <c r="O51" s="286">
        <f>$O$27</f>
        <v>208.56933089285712</v>
      </c>
      <c r="P51" s="286">
        <f t="shared" ref="P51" si="26">P$27</f>
        <v>0</v>
      </c>
      <c r="Q51" s="16">
        <f>$Q$27</f>
        <v>0</v>
      </c>
      <c r="R51" s="280">
        <f>$R$27</f>
        <v>3.7142857142857144</v>
      </c>
      <c r="S51" s="280">
        <f t="shared" ref="S51" si="27">S$27</f>
        <v>0</v>
      </c>
      <c r="T51" s="289">
        <f>$T$27</f>
        <v>0</v>
      </c>
      <c r="U51" s="289">
        <f t="shared" ref="U51" si="28">U$27</f>
        <v>0</v>
      </c>
      <c r="V51" s="5"/>
    </row>
    <row r="52" spans="2:22" s="3" customFormat="1">
      <c r="B52" s="286">
        <f ca="1">$B$27+($B$27*1*(0.5-RAND()))/100</f>
        <v>0</v>
      </c>
      <c r="C52" s="286"/>
      <c r="D52" s="21">
        <f ca="1">$D$27+($D$27*1*(0.5-RAND()))/100</f>
        <v>1086.9934650717091</v>
      </c>
      <c r="E52" s="286">
        <f ca="1">$E$27+($E$27*1*(0.5-RAND()))/100</f>
        <v>618.06911971457191</v>
      </c>
      <c r="F52" s="286"/>
      <c r="G52" s="286"/>
      <c r="H52" s="21">
        <f ca="1">$H$27+($H$27*1*(0.5-RAND()))/100</f>
        <v>966.3204063928398</v>
      </c>
      <c r="I52" s="286">
        <f ca="1">$I$27+($I$27*1*(0.5-RAND()))/100</f>
        <v>0</v>
      </c>
      <c r="J52" s="286"/>
      <c r="K52" s="21">
        <f ca="1">$K$27+($K$27*2*(0.5-RAND()))/100</f>
        <v>488.84004580080341</v>
      </c>
      <c r="L52" s="21">
        <f ca="1">$L$27+($L$27*2*(0.5-RAND()))/100</f>
        <v>0</v>
      </c>
      <c r="M52" s="21">
        <f ca="1">$M$27+($M$27*2*(0.5-RAND()))/100</f>
        <v>143.620657980141</v>
      </c>
      <c r="N52" s="25">
        <v>0</v>
      </c>
      <c r="O52" s="286">
        <f ca="1">$O$27+($O$27*(Load!$BM$46+Load!$BO$46*RAND()))/100</f>
        <v>210.42353197928631</v>
      </c>
      <c r="P52" s="286"/>
      <c r="Q52" s="16">
        <v>0</v>
      </c>
      <c r="R52" s="280">
        <f ca="1">$R$27+($R$27*2*(0.5-RAND()))/100</f>
        <v>3.6895930382931477</v>
      </c>
      <c r="S52" s="280"/>
      <c r="T52" s="290">
        <v>0</v>
      </c>
      <c r="U52" s="290"/>
      <c r="V52" s="5"/>
    </row>
    <row r="53" spans="2:22" s="4" customFormat="1" ht="18" customHeight="1">
      <c r="B53" s="22" t="s">
        <v>47</v>
      </c>
      <c r="C53" s="22"/>
      <c r="D53" s="23"/>
      <c r="E53" s="24"/>
      <c r="F53" s="24"/>
      <c r="G53" s="24"/>
      <c r="H53" s="23"/>
      <c r="I53" s="24"/>
      <c r="J53" s="24"/>
      <c r="K53" s="23"/>
      <c r="L53" s="23"/>
      <c r="M53" s="23"/>
      <c r="N53" s="28" t="s">
        <v>48</v>
      </c>
      <c r="O53" s="288">
        <v>0</v>
      </c>
      <c r="P53" s="288"/>
      <c r="Q53" s="23"/>
      <c r="R53" s="23"/>
      <c r="S53" s="23"/>
      <c r="T53" s="23"/>
      <c r="U53" s="23"/>
    </row>
    <row r="54" spans="2:22" s="3" customFormat="1" ht="17.5" customHeight="1">
      <c r="B54" s="285">
        <f>B51+B47+B43+B39+B35+B31+B27</f>
        <v>0</v>
      </c>
      <c r="C54" s="285"/>
      <c r="D54" s="21">
        <f>ROUND((D51+D47+D43+D39+D35+D31+D27),0)</f>
        <v>7623</v>
      </c>
      <c r="E54" s="286">
        <f>E51+E47+E43+E39+E35+E31+E27</f>
        <v>4305.2764285714284</v>
      </c>
      <c r="F54" s="286"/>
      <c r="G54" s="286"/>
      <c r="H54" s="21">
        <f>H51+H47+H43+H39+H35+H31+H27</f>
        <v>6741.2258571428574</v>
      </c>
      <c r="I54" s="286">
        <f>I51+I47+I43+I39+I35+I31+I27</f>
        <v>0</v>
      </c>
      <c r="J54" s="286"/>
      <c r="K54" s="21">
        <f>K51+K47+K43+K39+K35+K31+K27</f>
        <v>3400</v>
      </c>
      <c r="L54" s="21">
        <f>L51+L47+L43+L39+L35+L31+L27</f>
        <v>0</v>
      </c>
      <c r="M54" s="21">
        <f>M51+M47+M43+M39+M35+M31+M27</f>
        <v>1000.0000000000001</v>
      </c>
      <c r="N54" s="21">
        <v>0</v>
      </c>
      <c r="O54" s="287">
        <f>O51+O47+O43+O39+O35+O31+O27</f>
        <v>1459.9853162499999</v>
      </c>
      <c r="P54" s="287"/>
      <c r="Q54" s="35">
        <f>Q51+Q47+Q43+Q39+Q35+Q31+Q27</f>
        <v>0</v>
      </c>
      <c r="R54" s="284">
        <f>R51+R47+R43+R39+R35+R31+R27</f>
        <v>26.000000000000004</v>
      </c>
      <c r="S54" s="284"/>
      <c r="T54" s="284">
        <f>T51+T47+T43+T39+T35+T31+T27</f>
        <v>0</v>
      </c>
      <c r="U54" s="284"/>
    </row>
    <row r="55" spans="2:22" s="3" customFormat="1" ht="22" customHeight="1">
      <c r="B55" s="2" t="s">
        <v>49</v>
      </c>
      <c r="C55" s="5"/>
      <c r="D55" s="14"/>
      <c r="E55" s="17"/>
      <c r="F55" s="17"/>
      <c r="G55" s="17"/>
      <c r="H55" s="14"/>
      <c r="I55" s="17"/>
      <c r="J55" s="17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</row>
    <row r="56" spans="2:22" s="3" customFormat="1" ht="17.5" customHeight="1">
      <c r="B56" s="285">
        <f ca="1">B52+B48+B44+B40+B36+B32+B28</f>
        <v>0</v>
      </c>
      <c r="C56" s="285"/>
      <c r="D56" s="21">
        <f ca="1">D52+D48+D44+D40+D36+D32+D28</f>
        <v>7620.21970471647</v>
      </c>
      <c r="E56" s="286">
        <f ca="1">E52+E48+E44+E40+E36+E32+E28</f>
        <v>4314.0635168914077</v>
      </c>
      <c r="F56" s="286"/>
      <c r="G56" s="286"/>
      <c r="H56" s="21">
        <f ca="1">H52+H48+H44+H40+H36+H32+H28</f>
        <v>6745.7536113439783</v>
      </c>
      <c r="I56" s="286">
        <f ca="1">I52+I48+I44+I40+I36+I32+I28</f>
        <v>0</v>
      </c>
      <c r="J56" s="286"/>
      <c r="K56" s="21">
        <f ca="1">K52+K48+K44+K40+K36+K32+K28</f>
        <v>3400.5828498332044</v>
      </c>
      <c r="L56" s="21">
        <f ca="1">L52+L48+L44+L40+L36+L32+L28</f>
        <v>0</v>
      </c>
      <c r="M56" s="21">
        <f ca="1">M52+M48+M44+M40+M36+M32+M28</f>
        <v>999.50687326902857</v>
      </c>
      <c r="N56" s="21">
        <f ca="1">N52+N48+N44+N40+N36+N32+N28</f>
        <v>0</v>
      </c>
      <c r="O56" s="287">
        <f ca="1">O52+O48+O44+O40+O36+O32+O28</f>
        <v>1469.0295260520345</v>
      </c>
      <c r="P56" s="287"/>
      <c r="Q56" s="35">
        <f>Q52+Q48+Q44+Q40+Q36+Q32+Q28</f>
        <v>0</v>
      </c>
      <c r="R56" s="284">
        <f ca="1">R52+R48+R44+R40+R36+R32+R28</f>
        <v>25.93622824125287</v>
      </c>
      <c r="S56" s="284"/>
      <c r="T56" s="284">
        <f t="shared" ref="T56:U56" si="29">T52+T48+T44+T40+T36+T32+T28</f>
        <v>0</v>
      </c>
      <c r="U56" s="284">
        <f t="shared" si="29"/>
        <v>0</v>
      </c>
    </row>
    <row r="57" spans="2:22" s="3" customFormat="1" ht="2.5" customHeight="1">
      <c r="B57" s="283"/>
      <c r="C57" s="283"/>
      <c r="D57" s="283"/>
      <c r="E57" s="283"/>
      <c r="F57" s="283"/>
      <c r="G57" s="283"/>
      <c r="H57" s="283"/>
      <c r="I57" s="283"/>
      <c r="J57" s="283"/>
      <c r="K57" s="283"/>
      <c r="L57" s="283"/>
      <c r="M57" s="283"/>
      <c r="N57" s="283"/>
      <c r="O57" s="283"/>
      <c r="P57" s="283"/>
      <c r="Q57" s="283"/>
      <c r="R57" s="283"/>
      <c r="S57" s="283"/>
      <c r="T57" s="283"/>
      <c r="U57" s="283"/>
    </row>
    <row r="58" spans="2:22" s="3" customFormat="1" ht="9.65" customHeight="1">
      <c r="B58" s="5"/>
      <c r="C58" s="5"/>
      <c r="D58" s="26"/>
      <c r="E58" s="17"/>
      <c r="F58" s="17"/>
      <c r="G58" s="17"/>
      <c r="H58" s="26"/>
      <c r="I58" s="17"/>
      <c r="J58" s="17"/>
      <c r="K58" s="26"/>
      <c r="L58" s="26"/>
      <c r="M58" s="26"/>
      <c r="N58" s="26"/>
      <c r="O58" s="26"/>
      <c r="P58" s="26"/>
      <c r="Q58" s="36"/>
      <c r="S58" s="26"/>
      <c r="T58" s="26"/>
      <c r="U58" s="26"/>
    </row>
    <row r="59" spans="2:22" s="3" customFormat="1">
      <c r="B59" s="5"/>
      <c r="C59" s="5"/>
      <c r="D59" s="26"/>
      <c r="E59" s="17"/>
      <c r="F59" s="17"/>
      <c r="G59" s="17"/>
      <c r="H59" s="26"/>
      <c r="I59" s="17"/>
      <c r="J59" s="17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</row>
    <row r="60" spans="2:22" s="3" customFormat="1">
      <c r="B60" s="5"/>
      <c r="C60" s="5"/>
      <c r="D60" s="26"/>
      <c r="E60" s="17"/>
      <c r="F60" s="17"/>
      <c r="G60" s="17"/>
      <c r="H60" s="26"/>
      <c r="I60" s="17"/>
      <c r="J60" s="17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</row>
    <row r="61" spans="2:22" s="3" customFormat="1">
      <c r="B61" s="5"/>
      <c r="C61" s="5"/>
      <c r="D61" s="26"/>
      <c r="E61" s="17"/>
      <c r="F61" s="17"/>
      <c r="G61" s="17"/>
      <c r="H61" s="26"/>
      <c r="I61" s="17"/>
      <c r="J61" s="17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</row>
    <row r="62" spans="2:22" s="3" customFormat="1">
      <c r="B62" s="5"/>
      <c r="C62" s="5"/>
      <c r="D62" s="26"/>
      <c r="E62" s="17"/>
      <c r="F62" s="17"/>
      <c r="G62" s="17"/>
      <c r="H62" s="26"/>
      <c r="I62" s="17"/>
      <c r="J62" s="17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</row>
    <row r="63" spans="2:22" s="3" customFormat="1">
      <c r="B63" s="279"/>
      <c r="C63" s="279"/>
      <c r="D63" s="26"/>
      <c r="E63" s="280"/>
      <c r="F63" s="280"/>
      <c r="G63" s="280"/>
      <c r="H63" s="26"/>
      <c r="I63" s="280"/>
      <c r="J63" s="280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</row>
    <row r="64" spans="2:22" s="3" customFormat="1">
      <c r="B64" s="279"/>
      <c r="C64" s="279"/>
      <c r="D64" s="26"/>
      <c r="E64" s="280"/>
      <c r="F64" s="280"/>
      <c r="G64" s="280"/>
      <c r="H64" s="26"/>
      <c r="I64" s="280"/>
      <c r="J64" s="280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</row>
    <row r="65" spans="2:21" s="3" customFormat="1">
      <c r="B65" s="279"/>
      <c r="C65" s="279"/>
      <c r="D65" s="26"/>
      <c r="E65" s="26"/>
      <c r="F65" s="26"/>
      <c r="G65" s="26"/>
      <c r="H65" s="26"/>
      <c r="I65" s="280"/>
      <c r="J65" s="280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</row>
    <row r="66" spans="2:21" s="3" customFormat="1">
      <c r="B66" s="279"/>
      <c r="C66" s="279"/>
      <c r="D66" s="26"/>
      <c r="E66" s="26"/>
      <c r="F66" s="26"/>
      <c r="G66" s="26"/>
      <c r="H66" s="26"/>
      <c r="I66" s="280"/>
      <c r="J66" s="280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</row>
    <row r="67" spans="2:21" s="3" customFormat="1">
      <c r="B67" s="279"/>
      <c r="C67" s="279"/>
      <c r="D67" s="26"/>
      <c r="E67" s="26"/>
      <c r="F67" s="26"/>
      <c r="G67" s="26"/>
      <c r="H67" s="26"/>
      <c r="I67" s="280"/>
      <c r="J67" s="280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</row>
    <row r="68" spans="2:21" s="3" customFormat="1">
      <c r="B68" s="279"/>
      <c r="C68" s="279"/>
      <c r="D68" s="26"/>
      <c r="E68" s="26"/>
      <c r="F68" s="26"/>
      <c r="G68" s="26"/>
      <c r="H68" s="26"/>
      <c r="I68" s="280"/>
      <c r="J68" s="280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</row>
    <row r="69" spans="2:21" s="3" customFormat="1">
      <c r="B69" s="26"/>
      <c r="C69" s="26"/>
      <c r="D69" s="26"/>
      <c r="E69" s="26"/>
      <c r="F69" s="26"/>
      <c r="G69" s="26"/>
      <c r="H69" s="26"/>
      <c r="I69" s="281"/>
      <c r="J69" s="281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</row>
    <row r="70" spans="2:21"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</row>
    <row r="71" spans="2:21"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</row>
    <row r="72" spans="2:21"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</row>
    <row r="73" spans="2:21"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</row>
    <row r="74" spans="2:21"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</row>
    <row r="75" spans="2:21"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</row>
    <row r="76" spans="2:21"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</row>
    <row r="77" spans="2:21"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</row>
    <row r="78" spans="2:21"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</row>
    <row r="79" spans="2:21"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</row>
    <row r="80" spans="2:21"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</row>
  </sheetData>
  <sheetProtection selectLockedCells="1"/>
  <mergeCells count="194">
    <mergeCell ref="B2:U2"/>
    <mergeCell ref="B7:U7"/>
    <mergeCell ref="G8:J8"/>
    <mergeCell ref="P8:R8"/>
    <mergeCell ref="S8:T8"/>
    <mergeCell ref="G9:J9"/>
    <mergeCell ref="G10:J10"/>
    <mergeCell ref="B20:J20"/>
    <mergeCell ref="K20:M20"/>
    <mergeCell ref="N20:P20"/>
    <mergeCell ref="R20:U20"/>
    <mergeCell ref="J11:K11"/>
    <mergeCell ref="B21:C21"/>
    <mergeCell ref="E21:G21"/>
    <mergeCell ref="I21:J21"/>
    <mergeCell ref="O21:P21"/>
    <mergeCell ref="R21:S21"/>
    <mergeCell ref="T21:U21"/>
    <mergeCell ref="B23:C23"/>
    <mergeCell ref="E23:G23"/>
    <mergeCell ref="I23:J23"/>
    <mergeCell ref="O23:P23"/>
    <mergeCell ref="R23:S23"/>
    <mergeCell ref="T23:U23"/>
    <mergeCell ref="B25:C25"/>
    <mergeCell ref="E25:G25"/>
    <mergeCell ref="I25:J25"/>
    <mergeCell ref="O25:P25"/>
    <mergeCell ref="B26:C26"/>
    <mergeCell ref="E26:G26"/>
    <mergeCell ref="I26:J26"/>
    <mergeCell ref="O26:P26"/>
    <mergeCell ref="B27:C27"/>
    <mergeCell ref="E27:G27"/>
    <mergeCell ref="I27:J27"/>
    <mergeCell ref="O27:P27"/>
    <mergeCell ref="R27:S27"/>
    <mergeCell ref="T27:U27"/>
    <mergeCell ref="B28:C28"/>
    <mergeCell ref="E28:G28"/>
    <mergeCell ref="I28:J28"/>
    <mergeCell ref="O28:P28"/>
    <mergeCell ref="R28:S28"/>
    <mergeCell ref="T28:U28"/>
    <mergeCell ref="B29:C29"/>
    <mergeCell ref="E29:G29"/>
    <mergeCell ref="I29:J29"/>
    <mergeCell ref="O29:P29"/>
    <mergeCell ref="B30:C30"/>
    <mergeCell ref="E30:G30"/>
    <mergeCell ref="I30:J30"/>
    <mergeCell ref="O30:P30"/>
    <mergeCell ref="B31:C31"/>
    <mergeCell ref="E31:G31"/>
    <mergeCell ref="I31:J31"/>
    <mergeCell ref="O31:P31"/>
    <mergeCell ref="R31:S31"/>
    <mergeCell ref="T31:U31"/>
    <mergeCell ref="B32:C32"/>
    <mergeCell ref="E32:G32"/>
    <mergeCell ref="I32:J32"/>
    <mergeCell ref="O32:P32"/>
    <mergeCell ref="R32:S32"/>
    <mergeCell ref="T32:U32"/>
    <mergeCell ref="B33:C33"/>
    <mergeCell ref="E33:G33"/>
    <mergeCell ref="I33:J33"/>
    <mergeCell ref="O33:P33"/>
    <mergeCell ref="B34:C34"/>
    <mergeCell ref="E34:G34"/>
    <mergeCell ref="I34:J34"/>
    <mergeCell ref="O34:P34"/>
    <mergeCell ref="B35:C35"/>
    <mergeCell ref="E35:G35"/>
    <mergeCell ref="I35:J35"/>
    <mergeCell ref="O35:P35"/>
    <mergeCell ref="R35:S35"/>
    <mergeCell ref="T35:U35"/>
    <mergeCell ref="B36:C36"/>
    <mergeCell ref="E36:G36"/>
    <mergeCell ref="I36:J36"/>
    <mergeCell ref="O36:P36"/>
    <mergeCell ref="R36:S36"/>
    <mergeCell ref="T36:U36"/>
    <mergeCell ref="B37:C37"/>
    <mergeCell ref="E37:G37"/>
    <mergeCell ref="I37:J37"/>
    <mergeCell ref="O37:P37"/>
    <mergeCell ref="B38:C38"/>
    <mergeCell ref="E38:G38"/>
    <mergeCell ref="I38:J38"/>
    <mergeCell ref="O38:P38"/>
    <mergeCell ref="B39:C39"/>
    <mergeCell ref="E39:G39"/>
    <mergeCell ref="I39:J39"/>
    <mergeCell ref="O39:P39"/>
    <mergeCell ref="R39:S39"/>
    <mergeCell ref="T39:U39"/>
    <mergeCell ref="B40:C40"/>
    <mergeCell ref="E40:G40"/>
    <mergeCell ref="I40:J40"/>
    <mergeCell ref="O40:P40"/>
    <mergeCell ref="R40:S40"/>
    <mergeCell ref="T40:U40"/>
    <mergeCell ref="B41:C41"/>
    <mergeCell ref="E41:G41"/>
    <mergeCell ref="I41:J41"/>
    <mergeCell ref="O41:P41"/>
    <mergeCell ref="B42:C42"/>
    <mergeCell ref="E42:G42"/>
    <mergeCell ref="I42:J42"/>
    <mergeCell ref="O42:P42"/>
    <mergeCell ref="B43:C43"/>
    <mergeCell ref="E43:G43"/>
    <mergeCell ref="I43:J43"/>
    <mergeCell ref="O43:P43"/>
    <mergeCell ref="R43:S43"/>
    <mergeCell ref="O46:P46"/>
    <mergeCell ref="B47:C47"/>
    <mergeCell ref="E47:G47"/>
    <mergeCell ref="I47:J47"/>
    <mergeCell ref="O47:P47"/>
    <mergeCell ref="R47:S47"/>
    <mergeCell ref="T43:U43"/>
    <mergeCell ref="B44:C44"/>
    <mergeCell ref="E44:G44"/>
    <mergeCell ref="I44:J44"/>
    <mergeCell ref="O44:P44"/>
    <mergeCell ref="R44:S44"/>
    <mergeCell ref="T44:U44"/>
    <mergeCell ref="B45:C45"/>
    <mergeCell ref="E45:G45"/>
    <mergeCell ref="I45:J45"/>
    <mergeCell ref="O45:P45"/>
    <mergeCell ref="R51:S51"/>
    <mergeCell ref="T47:U47"/>
    <mergeCell ref="B48:C48"/>
    <mergeCell ref="E48:G48"/>
    <mergeCell ref="I48:J48"/>
    <mergeCell ref="O48:P48"/>
    <mergeCell ref="R48:S48"/>
    <mergeCell ref="T48:U48"/>
    <mergeCell ref="B49:C49"/>
    <mergeCell ref="E49:G49"/>
    <mergeCell ref="I49:J49"/>
    <mergeCell ref="O49:P49"/>
    <mergeCell ref="R56:S56"/>
    <mergeCell ref="T56:U56"/>
    <mergeCell ref="B57:U57"/>
    <mergeCell ref="B63:C63"/>
    <mergeCell ref="E63:G63"/>
    <mergeCell ref="I63:J63"/>
    <mergeCell ref="T51:U51"/>
    <mergeCell ref="B52:C52"/>
    <mergeCell ref="E52:G52"/>
    <mergeCell ref="I52:J52"/>
    <mergeCell ref="O52:P52"/>
    <mergeCell ref="R52:S52"/>
    <mergeCell ref="T52:U52"/>
    <mergeCell ref="O53:P53"/>
    <mergeCell ref="B54:C54"/>
    <mergeCell ref="E54:G54"/>
    <mergeCell ref="I54:J54"/>
    <mergeCell ref="O54:P54"/>
    <mergeCell ref="R54:S54"/>
    <mergeCell ref="T54:U54"/>
    <mergeCell ref="B51:C51"/>
    <mergeCell ref="E51:G51"/>
    <mergeCell ref="I51:J51"/>
    <mergeCell ref="O51:P51"/>
    <mergeCell ref="B68:C68"/>
    <mergeCell ref="I68:J68"/>
    <mergeCell ref="I69:J69"/>
    <mergeCell ref="E3:Q4"/>
    <mergeCell ref="B64:C64"/>
    <mergeCell ref="E64:G64"/>
    <mergeCell ref="I64:J64"/>
    <mergeCell ref="B65:C65"/>
    <mergeCell ref="I65:J65"/>
    <mergeCell ref="B66:C66"/>
    <mergeCell ref="I66:J66"/>
    <mergeCell ref="B67:C67"/>
    <mergeCell ref="I67:J67"/>
    <mergeCell ref="B56:C56"/>
    <mergeCell ref="E56:G56"/>
    <mergeCell ref="I56:J56"/>
    <mergeCell ref="O56:P56"/>
    <mergeCell ref="B50:C50"/>
    <mergeCell ref="E50:G50"/>
    <mergeCell ref="I50:J50"/>
    <mergeCell ref="O50:P50"/>
    <mergeCell ref="B46:C46"/>
    <mergeCell ref="E46:G46"/>
    <mergeCell ref="I46:J46"/>
  </mergeCells>
  <printOptions horizontalCentered="1"/>
  <pageMargins left="3.9370078740157501E-2" right="3.9370078740157501E-2" top="0.55118110236220497" bottom="0.43307086614173201" header="0.196850393700787" footer="0.31496062992126"/>
  <pageSetup scale="94" orientation="portrait" horizontalDpi="360" verticalDpi="36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/>
  <dimension ref="B1:V84"/>
  <sheetViews>
    <sheetView showGridLines="0" workbookViewId="0">
      <selection activeCell="W1" sqref="W1:AG1048576"/>
    </sheetView>
  </sheetViews>
  <sheetFormatPr defaultColWidth="8.7265625" defaultRowHeight="14"/>
  <cols>
    <col min="1" max="1" width="8.7265625" style="5"/>
    <col min="2" max="2" width="2.453125" style="5" customWidth="1"/>
    <col min="3" max="3" width="4.7265625" style="5" customWidth="1"/>
    <col min="4" max="4" width="6.453125" style="5" customWidth="1"/>
    <col min="5" max="7" width="2.54296875" style="5" customWidth="1"/>
    <col min="8" max="8" width="7.453125" style="5" customWidth="1"/>
    <col min="9" max="9" width="2.7265625" style="5" customWidth="1"/>
    <col min="10" max="10" width="4.1796875" style="5" customWidth="1"/>
    <col min="11" max="13" width="8.1796875" style="5" customWidth="1"/>
    <col min="14" max="14" width="9.54296875" style="5" customWidth="1"/>
    <col min="15" max="16" width="4.54296875" style="5" customWidth="1"/>
    <col min="17" max="17" width="10.453125" style="5" customWidth="1"/>
    <col min="18" max="19" width="4.7265625" style="5" customWidth="1"/>
    <col min="20" max="20" width="7.1796875" style="5" customWidth="1"/>
    <col min="21" max="21" width="3.26953125" style="5" customWidth="1"/>
    <col min="22" max="22" width="6.453125" style="5" customWidth="1"/>
    <col min="23" max="16384" width="8.7265625" style="5"/>
  </cols>
  <sheetData>
    <row r="1" spans="2:21" ht="8.15" customHeight="1"/>
    <row r="2" spans="2:21" ht="20">
      <c r="B2" s="300" t="s">
        <v>22</v>
      </c>
      <c r="C2" s="300"/>
      <c r="D2" s="300"/>
      <c r="E2" s="300"/>
      <c r="F2" s="300"/>
      <c r="G2" s="300"/>
      <c r="H2" s="300"/>
      <c r="I2" s="300"/>
      <c r="J2" s="300"/>
      <c r="K2" s="300"/>
      <c r="L2" s="300"/>
      <c r="M2" s="300"/>
      <c r="N2" s="300"/>
      <c r="O2" s="300"/>
      <c r="P2" s="300"/>
      <c r="Q2" s="300"/>
      <c r="R2" s="300"/>
      <c r="S2" s="300"/>
      <c r="T2" s="300"/>
      <c r="U2" s="300"/>
    </row>
    <row r="3" spans="2:21" ht="16" customHeight="1">
      <c r="E3" s="282" t="s">
        <v>23</v>
      </c>
      <c r="F3" s="282"/>
      <c r="G3" s="282"/>
      <c r="H3" s="282"/>
      <c r="I3" s="282"/>
      <c r="J3" s="282"/>
      <c r="K3" s="282"/>
      <c r="L3" s="282"/>
      <c r="M3" s="282"/>
      <c r="N3" s="282"/>
      <c r="O3" s="282"/>
      <c r="P3" s="282"/>
      <c r="Q3" s="282"/>
    </row>
    <row r="4" spans="2:21" ht="16" customHeight="1">
      <c r="E4" s="282"/>
      <c r="F4" s="282"/>
      <c r="G4" s="282"/>
      <c r="H4" s="282"/>
      <c r="I4" s="282"/>
      <c r="J4" s="282"/>
      <c r="K4" s="282"/>
      <c r="L4" s="282"/>
      <c r="M4" s="282"/>
      <c r="N4" s="282"/>
      <c r="O4" s="282"/>
      <c r="P4" s="282"/>
      <c r="Q4" s="282"/>
    </row>
    <row r="5" spans="2:21" ht="16.5" customHeight="1">
      <c r="D5" s="5" t="s">
        <v>24</v>
      </c>
    </row>
    <row r="6" spans="2:21">
      <c r="D6" s="5" t="s">
        <v>25</v>
      </c>
    </row>
    <row r="7" spans="2:21" ht="21.65" customHeight="1">
      <c r="B7" s="296" t="s">
        <v>26</v>
      </c>
      <c r="C7" s="296"/>
      <c r="D7" s="296"/>
      <c r="E7" s="296"/>
      <c r="F7" s="296"/>
      <c r="G7" s="296"/>
      <c r="H7" s="296"/>
      <c r="I7" s="296"/>
      <c r="J7" s="296"/>
      <c r="K7" s="296"/>
      <c r="L7" s="296"/>
      <c r="M7" s="296"/>
      <c r="N7" s="296"/>
      <c r="O7" s="296"/>
      <c r="P7" s="296"/>
      <c r="Q7" s="296"/>
      <c r="R7" s="296"/>
      <c r="S7" s="296"/>
      <c r="T7" s="296"/>
      <c r="U7" s="296"/>
    </row>
    <row r="8" spans="2:21" s="2" customFormat="1" ht="18.649999999999999" customHeight="1">
      <c r="B8" s="6" t="s">
        <v>27</v>
      </c>
      <c r="C8" s="6"/>
      <c r="D8" s="7"/>
      <c r="E8" s="7"/>
      <c r="F8" s="8" t="s">
        <v>28</v>
      </c>
      <c r="G8" s="301">
        <f>Load!J17</f>
        <v>46218</v>
      </c>
      <c r="H8" s="301"/>
      <c r="I8" s="301"/>
      <c r="J8" s="301"/>
      <c r="K8" s="7"/>
      <c r="L8" s="7"/>
      <c r="M8" s="7"/>
      <c r="N8" s="7"/>
      <c r="O8" s="7"/>
      <c r="P8" s="302" t="s">
        <v>29</v>
      </c>
      <c r="Q8" s="302"/>
      <c r="R8" s="302"/>
      <c r="S8" s="303">
        <v>160</v>
      </c>
      <c r="T8" s="303"/>
      <c r="U8" s="7"/>
    </row>
    <row r="9" spans="2:21">
      <c r="B9" s="9" t="s">
        <v>3</v>
      </c>
      <c r="C9" s="9"/>
      <c r="D9" s="10"/>
      <c r="E9" s="10"/>
      <c r="F9" s="11" t="s">
        <v>28</v>
      </c>
      <c r="G9" s="298">
        <f>Load!K19</f>
        <v>0.50232638888888892</v>
      </c>
      <c r="H9" s="298"/>
      <c r="I9" s="298"/>
      <c r="J9" s="298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</row>
    <row r="10" spans="2:21">
      <c r="B10" s="9" t="s">
        <v>31</v>
      </c>
      <c r="C10" s="9"/>
      <c r="D10" s="10"/>
      <c r="E10" s="10"/>
      <c r="F10" s="11" t="s">
        <v>28</v>
      </c>
      <c r="G10" s="298">
        <f>Load!K21</f>
        <v>0.51138888888888889</v>
      </c>
      <c r="H10" s="298"/>
      <c r="I10" s="298"/>
      <c r="J10" s="298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</row>
    <row r="11" spans="2:21" s="2" customFormat="1" ht="20.149999999999999" customHeight="1">
      <c r="B11" s="7"/>
      <c r="C11" s="6" t="s">
        <v>0</v>
      </c>
      <c r="D11" s="7"/>
      <c r="E11" s="7"/>
      <c r="F11" s="7"/>
      <c r="G11" s="7"/>
      <c r="H11" s="7"/>
      <c r="I11" s="6" t="s">
        <v>28</v>
      </c>
      <c r="J11" s="299">
        <f>Load!AN26</f>
        <v>8338</v>
      </c>
      <c r="K11" s="299"/>
      <c r="L11" s="7"/>
      <c r="M11" s="7"/>
      <c r="N11" s="7"/>
      <c r="O11" s="7"/>
      <c r="P11" s="6" t="s">
        <v>1</v>
      </c>
      <c r="Q11" s="7"/>
      <c r="R11" s="7"/>
      <c r="S11" s="6" t="s">
        <v>28</v>
      </c>
      <c r="T11" s="29">
        <f>Load!BN26</f>
        <v>45</v>
      </c>
      <c r="U11" s="30" t="s">
        <v>32</v>
      </c>
    </row>
    <row r="12" spans="2:21" ht="16" customHeight="1">
      <c r="B12" s="10"/>
      <c r="C12" s="9" t="s">
        <v>5</v>
      </c>
      <c r="D12" s="10"/>
      <c r="E12" s="10"/>
      <c r="F12" s="10"/>
      <c r="G12" s="10"/>
      <c r="H12" s="10"/>
      <c r="I12" s="6" t="s">
        <v>28</v>
      </c>
      <c r="J12" s="10" t="str">
        <f>Load!M26</f>
        <v>JHEERNNODHARA SAMITHI ANANTHAPURAM</v>
      </c>
      <c r="K12" s="10"/>
      <c r="L12" s="10"/>
      <c r="M12" s="10"/>
      <c r="N12" s="10"/>
      <c r="O12" s="10"/>
      <c r="P12" s="9" t="s">
        <v>2</v>
      </c>
      <c r="Q12" s="10"/>
      <c r="R12" s="10"/>
      <c r="S12" s="6" t="s">
        <v>28</v>
      </c>
      <c r="T12" s="29">
        <f>Load!AO29</f>
        <v>10</v>
      </c>
      <c r="U12" s="30" t="s">
        <v>32</v>
      </c>
    </row>
    <row r="13" spans="2:21" ht="16" customHeight="1">
      <c r="B13" s="10"/>
      <c r="C13" s="9" t="s">
        <v>7</v>
      </c>
      <c r="D13" s="10"/>
      <c r="E13" s="10"/>
      <c r="F13" s="10"/>
      <c r="G13" s="10"/>
      <c r="H13" s="10"/>
      <c r="I13" s="6" t="s">
        <v>28</v>
      </c>
      <c r="J13" s="10" t="str">
        <f>Load!M34</f>
        <v>BOVIKANAM</v>
      </c>
      <c r="O13" s="10"/>
      <c r="P13" s="9" t="s">
        <v>4</v>
      </c>
      <c r="Q13" s="10"/>
      <c r="R13" s="10"/>
      <c r="S13" s="6" t="s">
        <v>28</v>
      </c>
      <c r="T13" s="29">
        <v>0</v>
      </c>
      <c r="U13" s="30" t="s">
        <v>32</v>
      </c>
    </row>
    <row r="14" spans="2:21" ht="16" customHeight="1">
      <c r="B14" s="10"/>
      <c r="C14" s="9" t="s">
        <v>9</v>
      </c>
      <c r="D14" s="10"/>
      <c r="E14" s="10"/>
      <c r="F14" s="10"/>
      <c r="G14" s="10"/>
      <c r="H14" s="10"/>
      <c r="I14" s="6" t="s">
        <v>28</v>
      </c>
      <c r="J14" s="10" t="str">
        <f>Load!M29</f>
        <v>M 40 A</v>
      </c>
      <c r="K14" s="10"/>
      <c r="L14" s="10"/>
      <c r="M14" s="10"/>
      <c r="N14" s="10"/>
      <c r="O14" s="10"/>
      <c r="P14" s="9" t="s">
        <v>6</v>
      </c>
      <c r="Q14" s="10"/>
      <c r="R14" s="10"/>
      <c r="S14" s="6" t="s">
        <v>28</v>
      </c>
      <c r="T14" s="29">
        <f>Load!BE26</f>
        <v>31</v>
      </c>
      <c r="U14" s="30" t="s">
        <v>32</v>
      </c>
    </row>
    <row r="15" spans="2:21" ht="16" customHeight="1">
      <c r="B15" s="10"/>
      <c r="C15" s="9" t="s">
        <v>10</v>
      </c>
      <c r="D15" s="10"/>
      <c r="E15" s="10"/>
      <c r="F15" s="10"/>
      <c r="G15" s="10"/>
      <c r="H15" s="10"/>
      <c r="I15" s="6" t="s">
        <v>28</v>
      </c>
      <c r="J15" s="10">
        <f>Load!M32</f>
        <v>0</v>
      </c>
      <c r="K15" s="10"/>
      <c r="L15" s="10"/>
      <c r="M15" s="10"/>
      <c r="N15" s="10"/>
      <c r="O15" s="10"/>
      <c r="P15" s="9" t="s">
        <v>33</v>
      </c>
      <c r="Q15" s="10"/>
      <c r="R15" s="10"/>
      <c r="S15" s="6" t="s">
        <v>28</v>
      </c>
      <c r="T15" s="29">
        <v>1</v>
      </c>
      <c r="U15" s="30" t="s">
        <v>32</v>
      </c>
    </row>
    <row r="16" spans="2:21" ht="16" customHeight="1">
      <c r="B16" s="10"/>
      <c r="C16" s="9" t="s">
        <v>12</v>
      </c>
      <c r="D16" s="10"/>
      <c r="E16" s="10"/>
      <c r="F16" s="10"/>
      <c r="G16" s="10"/>
      <c r="H16" s="10"/>
      <c r="I16" s="6" t="s">
        <v>28</v>
      </c>
      <c r="J16" s="10" t="str">
        <f>Load!BG29</f>
        <v>KL14 AF 2789</v>
      </c>
      <c r="K16" s="10"/>
      <c r="L16" s="10"/>
      <c r="M16" s="10"/>
      <c r="N16" s="10"/>
      <c r="O16" s="10"/>
      <c r="P16" s="9" t="s">
        <v>34</v>
      </c>
      <c r="Q16" s="10"/>
      <c r="R16" s="10"/>
      <c r="S16" s="6" t="s">
        <v>28</v>
      </c>
      <c r="T16" s="29">
        <f>T12/8</f>
        <v>1.25</v>
      </c>
      <c r="U16" s="30" t="s">
        <v>32</v>
      </c>
    </row>
    <row r="17" spans="2:22" ht="16" customHeight="1">
      <c r="B17" s="10"/>
      <c r="C17" s="9" t="s">
        <v>11</v>
      </c>
      <c r="D17" s="10"/>
      <c r="E17" s="10"/>
      <c r="F17" s="10"/>
      <c r="G17" s="10"/>
      <c r="H17" s="10"/>
      <c r="I17" s="6" t="s">
        <v>28</v>
      </c>
      <c r="J17" s="10">
        <f>Load!AZ32</f>
        <v>0</v>
      </c>
      <c r="K17" s="10"/>
      <c r="L17" s="10"/>
      <c r="M17" s="10"/>
      <c r="N17" s="10"/>
      <c r="O17" s="10"/>
      <c r="P17" s="9" t="s">
        <v>35</v>
      </c>
      <c r="Q17" s="10"/>
      <c r="R17" s="10"/>
      <c r="S17" s="10"/>
      <c r="T17" s="10">
        <v>0</v>
      </c>
      <c r="U17" s="31" t="s">
        <v>36</v>
      </c>
    </row>
    <row r="18" spans="2:22">
      <c r="C18" s="9" t="s">
        <v>8</v>
      </c>
      <c r="D18" s="10"/>
      <c r="E18" s="10"/>
      <c r="F18" s="10"/>
      <c r="G18" s="10"/>
      <c r="H18" s="10"/>
      <c r="I18" s="6" t="s">
        <v>28</v>
      </c>
      <c r="J18" s="10">
        <f>Load!AZ34</f>
        <v>0</v>
      </c>
      <c r="K18" s="10"/>
      <c r="L18" s="10"/>
      <c r="M18" s="10"/>
      <c r="N18" s="10"/>
      <c r="O18" s="10"/>
    </row>
    <row r="19" spans="2:22">
      <c r="C19" s="9" t="s">
        <v>37</v>
      </c>
      <c r="D19" s="10"/>
      <c r="E19" s="10"/>
      <c r="F19" s="10"/>
      <c r="G19" s="10"/>
      <c r="H19" s="10"/>
      <c r="I19" s="6" t="s">
        <v>28</v>
      </c>
      <c r="J19" s="10" t="s">
        <v>25</v>
      </c>
      <c r="K19" s="10"/>
      <c r="L19" s="10"/>
      <c r="M19" s="10"/>
      <c r="N19" s="10"/>
      <c r="O19" s="10"/>
    </row>
    <row r="20" spans="2:22" ht="22" customHeight="1">
      <c r="B20" s="296" t="s">
        <v>38</v>
      </c>
      <c r="C20" s="296"/>
      <c r="D20" s="296"/>
      <c r="E20" s="296"/>
      <c r="F20" s="296"/>
      <c r="G20" s="296"/>
      <c r="H20" s="296"/>
      <c r="I20" s="296"/>
      <c r="J20" s="296"/>
      <c r="K20" s="296" t="s">
        <v>39</v>
      </c>
      <c r="L20" s="296"/>
      <c r="M20" s="296"/>
      <c r="N20" s="296" t="s">
        <v>40</v>
      </c>
      <c r="O20" s="296"/>
      <c r="P20" s="296"/>
      <c r="Q20" s="32" t="s">
        <v>41</v>
      </c>
      <c r="R20" s="296" t="s">
        <v>42</v>
      </c>
      <c r="S20" s="296"/>
      <c r="T20" s="296"/>
      <c r="U20" s="296"/>
    </row>
    <row r="21" spans="2:22" ht="14.5" customHeight="1">
      <c r="B21" s="297" t="str">
        <f>Load!W45</f>
        <v>M SAND</v>
      </c>
      <c r="C21" s="297"/>
      <c r="D21" s="12" t="str">
        <f>Load!AA45</f>
        <v xml:space="preserve">M SAND </v>
      </c>
      <c r="E21" s="293" t="str">
        <f>Load!AE45</f>
        <v>12 MM</v>
      </c>
      <c r="F21" s="293"/>
      <c r="G21" s="293"/>
      <c r="H21" s="14" t="str">
        <f>Load!AG45</f>
        <v>20 MM</v>
      </c>
      <c r="I21" s="293" t="str">
        <f>Load!AJ45</f>
        <v>0</v>
      </c>
      <c r="J21" s="293"/>
      <c r="K21" s="13" t="str">
        <f>Load!AL45</f>
        <v>CEM 1</v>
      </c>
      <c r="L21" s="13" t="str">
        <f>Load!AP45</f>
        <v>CEM 2</v>
      </c>
      <c r="M21" s="13" t="str">
        <f>Load!AR45</f>
        <v>CEM 3</v>
      </c>
      <c r="O21" s="293" t="str">
        <f>Load!BC45</f>
        <v>WATER</v>
      </c>
      <c r="P21" s="293"/>
      <c r="Q21" s="5" t="s">
        <v>43</v>
      </c>
      <c r="R21" s="297" t="str">
        <f>Load!AV45</f>
        <v>ADMIX1</v>
      </c>
      <c r="S21" s="297"/>
      <c r="T21" s="297" t="str">
        <f>Load!AY45</f>
        <v>ADMIX2</v>
      </c>
      <c r="U21" s="297"/>
    </row>
    <row r="22" spans="2:22">
      <c r="B22" s="10" t="s">
        <v>44</v>
      </c>
    </row>
    <row r="23" spans="2:22" s="2" customFormat="1" ht="20.5" customHeight="1">
      <c r="B23" s="294">
        <f>Load!W46</f>
        <v>0</v>
      </c>
      <c r="C23" s="294"/>
      <c r="D23" s="15">
        <f>Load!AA46</f>
        <v>743</v>
      </c>
      <c r="E23" s="295">
        <f>Load!AE46</f>
        <v>435</v>
      </c>
      <c r="F23" s="295"/>
      <c r="G23" s="295"/>
      <c r="H23" s="15">
        <f>Load!AG46</f>
        <v>681</v>
      </c>
      <c r="I23" s="295"/>
      <c r="J23" s="295"/>
      <c r="K23" s="27">
        <f>Load!AL46</f>
        <v>340</v>
      </c>
      <c r="L23" s="27">
        <f>Load!AP46</f>
        <v>0</v>
      </c>
      <c r="M23" s="27">
        <f>Load!AR46</f>
        <v>100</v>
      </c>
      <c r="N23" s="27">
        <v>0</v>
      </c>
      <c r="O23" s="294">
        <f>Load!BC46</f>
        <v>154</v>
      </c>
      <c r="P23" s="294"/>
      <c r="Q23" s="33">
        <v>0</v>
      </c>
      <c r="R23" s="292">
        <f>Load!AV46</f>
        <v>2.6</v>
      </c>
      <c r="S23" s="292"/>
      <c r="T23" s="292">
        <f>Load!AY46</f>
        <v>0</v>
      </c>
      <c r="U23" s="292"/>
    </row>
    <row r="24" spans="2:22" ht="20.149999999999999" customHeight="1">
      <c r="B24" s="5" t="s">
        <v>45</v>
      </c>
    </row>
    <row r="25" spans="2:22">
      <c r="B25" s="280">
        <f>Load!W47</f>
        <v>0</v>
      </c>
      <c r="C25" s="280"/>
      <c r="D25" s="16">
        <f>Load!AA47</f>
        <v>2</v>
      </c>
      <c r="E25" s="280">
        <f>Load!AE47</f>
        <v>1</v>
      </c>
      <c r="F25" s="280"/>
      <c r="G25" s="280"/>
      <c r="H25" s="18">
        <f>Load!AG47</f>
        <v>1</v>
      </c>
      <c r="I25" s="280">
        <v>0</v>
      </c>
      <c r="J25" s="280"/>
      <c r="K25" s="14"/>
      <c r="L25" s="14"/>
      <c r="M25" s="14"/>
      <c r="N25" s="14"/>
      <c r="O25" s="293">
        <v>0</v>
      </c>
      <c r="P25" s="293"/>
      <c r="Q25" s="14"/>
      <c r="R25" s="14"/>
      <c r="S25" s="14"/>
      <c r="T25" s="14"/>
      <c r="U25" s="14"/>
    </row>
    <row r="26" spans="2:22">
      <c r="B26" s="280">
        <f>Load!W48</f>
        <v>0</v>
      </c>
      <c r="C26" s="280"/>
      <c r="D26" s="124">
        <f>Load!AA48</f>
        <v>4.5</v>
      </c>
      <c r="E26" s="280">
        <f>Load!AE48</f>
        <v>0</v>
      </c>
      <c r="F26" s="280"/>
      <c r="G26" s="280"/>
      <c r="H26" s="16">
        <f>Load!AG48</f>
        <v>0</v>
      </c>
      <c r="I26" s="280">
        <v>0</v>
      </c>
      <c r="J26" s="280"/>
      <c r="K26" s="14"/>
      <c r="L26" s="14"/>
      <c r="M26" s="14"/>
      <c r="N26" s="13" t="s">
        <v>46</v>
      </c>
      <c r="O26" s="279">
        <v>0</v>
      </c>
      <c r="P26" s="279"/>
      <c r="Q26" s="14"/>
      <c r="R26" s="14"/>
      <c r="S26" s="14"/>
      <c r="T26" s="14"/>
      <c r="U26" s="14"/>
    </row>
    <row r="27" spans="2:22">
      <c r="B27" s="286">
        <f>(((B26-B25)*(B23*T16))/100)+(((B26-B25)*(((B26-B25)*(B23*T16))/100))/100)+(B23*T16)</f>
        <v>0</v>
      </c>
      <c r="C27" s="286">
        <f t="shared" ref="C27" si="0">(((C26-C25)*C23)/100)+(((C26-C25)*(((C26-C25)*C23)/100))/100)+C23</f>
        <v>0</v>
      </c>
      <c r="D27" s="20">
        <f>(((D26-D25)*(D23*T16))/100)+(((D26-D25)*(((D26-D25)*(D23*T16))/100))/100)+(D23*T16)</f>
        <v>952.54921875000002</v>
      </c>
      <c r="E27" s="286">
        <f>(((E26-E25)*(E23*T16))/100)+(((E26-E25)*(((E26-E25)*(T16*E23))/100))/100)+(T16*E23)</f>
        <v>538.36687500000005</v>
      </c>
      <c r="F27" s="286">
        <f t="shared" ref="F27:G27" si="1">(((F26-F25)*F23)/100)+(((F26-F25)*(((F26-F25)*F23)/100))/100)+F23</f>
        <v>0</v>
      </c>
      <c r="G27" s="286">
        <f t="shared" si="1"/>
        <v>0</v>
      </c>
      <c r="H27" s="21">
        <f>(((H26-H25)*(T16*H23))/100)+(((H26-H25)*(((H26-H25)*(T16*H23))/100))/100)+(T16*H23)</f>
        <v>842.82262500000002</v>
      </c>
      <c r="I27" s="286">
        <f>(((I26-I25)*(T16*I23))/100)+(((I26-I25)*(((I26-I25)*(T16*I23))/100))/100)+(T16*I23)</f>
        <v>0</v>
      </c>
      <c r="J27" s="286">
        <f t="shared" ref="J27" si="2">(((J26-J25)*J23)/100)+(((J26-J25)*(((J26-J25)*J23)/100))/100)+J23</f>
        <v>0</v>
      </c>
      <c r="K27" s="21">
        <f>K23*T16</f>
        <v>425</v>
      </c>
      <c r="L27" s="21">
        <f>L23*T16</f>
        <v>0</v>
      </c>
      <c r="M27" s="21">
        <f>M23*T16</f>
        <v>125</v>
      </c>
      <c r="N27" s="25">
        <v>0</v>
      </c>
      <c r="O27" s="291">
        <f>(T16*O23)-(((B27*B26/100)-(B27*B25/100))+((D27*D26/100)-(D27*D25/100))+((E27*E26/100)-(E27*E25/100))+((H27*H26/100)-(H27*H25/100)))</f>
        <v>182.49816453125001</v>
      </c>
      <c r="P27" s="291"/>
      <c r="Q27" s="34">
        <v>0</v>
      </c>
      <c r="R27" s="280">
        <f>R23*T16</f>
        <v>3.25</v>
      </c>
      <c r="S27" s="280"/>
      <c r="T27" s="289">
        <f>T23*T16</f>
        <v>0</v>
      </c>
      <c r="U27" s="289"/>
    </row>
    <row r="28" spans="2:22">
      <c r="B28" s="286">
        <f ca="1">$B$27+($B$27*1*(0.5-RAND()))/100</f>
        <v>0</v>
      </c>
      <c r="C28" s="286"/>
      <c r="D28" s="21">
        <f ca="1">$D$27+($D$27*1*(0.5-RAND()))/100</f>
        <v>953.54073053086938</v>
      </c>
      <c r="E28" s="286">
        <f ca="1">$E$27+($E$27*1*(0.5-RAND()))/100</f>
        <v>539.38595507898049</v>
      </c>
      <c r="F28" s="286"/>
      <c r="G28" s="286"/>
      <c r="H28" s="21">
        <f ca="1">$H$27+($H$27*1*(0.5-RAND()))/100</f>
        <v>843.42464101506346</v>
      </c>
      <c r="I28" s="286">
        <f ca="1">$I$27+($I$27*1*(0.5-RAND()))/100</f>
        <v>0</v>
      </c>
      <c r="J28" s="286"/>
      <c r="K28" s="21">
        <f ca="1">$K$27+($K$27*2*(0.5-RAND()))/100</f>
        <v>426.68503801609234</v>
      </c>
      <c r="L28" s="21">
        <f ca="1">$L$27+($L$27*2*(0.5-RAND()))/100</f>
        <v>0</v>
      </c>
      <c r="M28" s="21">
        <f ca="1">$M$27+($M$27*2*(0.5-RAND()))/100</f>
        <v>126.16140736093692</v>
      </c>
      <c r="N28" s="25">
        <f ca="1">N27+(N27*1*(0.5-RAND()))/100</f>
        <v>0</v>
      </c>
      <c r="O28" s="286">
        <f ca="1">$O$27+($O$27*(Load!$BM$46+Load!$BO$46*RAND()))/100</f>
        <v>179.30069745262495</v>
      </c>
      <c r="P28" s="286"/>
      <c r="Q28" s="34">
        <v>0</v>
      </c>
      <c r="R28" s="280">
        <f ca="1">$R$27+($R$27*2*(0.5-RAND()))/100</f>
        <v>3.2324172653697119</v>
      </c>
      <c r="S28" s="280"/>
      <c r="T28" s="290">
        <v>0</v>
      </c>
      <c r="U28" s="290"/>
    </row>
    <row r="29" spans="2:22">
      <c r="B29" s="280">
        <f>$B$25</f>
        <v>0</v>
      </c>
      <c r="C29" s="280"/>
      <c r="D29" s="17">
        <f>$D$25</f>
        <v>2</v>
      </c>
      <c r="E29" s="280">
        <f>$E$25</f>
        <v>1</v>
      </c>
      <c r="F29" s="280"/>
      <c r="G29" s="280"/>
      <c r="H29" s="18">
        <f>$H$25</f>
        <v>1</v>
      </c>
      <c r="I29" s="280">
        <v>0</v>
      </c>
      <c r="J29" s="280"/>
      <c r="K29" s="14"/>
      <c r="L29" s="14"/>
      <c r="M29" s="14"/>
      <c r="N29" s="14"/>
      <c r="O29" s="293">
        <v>0</v>
      </c>
      <c r="P29" s="293"/>
      <c r="Q29" s="14"/>
      <c r="R29" s="14"/>
      <c r="S29" s="14"/>
      <c r="T29" s="14"/>
      <c r="U29" s="14"/>
    </row>
    <row r="30" spans="2:22">
      <c r="B30" s="280">
        <f>$B$26</f>
        <v>0</v>
      </c>
      <c r="C30" s="280"/>
      <c r="D30" s="124">
        <f>$D$26</f>
        <v>4.5</v>
      </c>
      <c r="E30" s="280">
        <f>$E$26</f>
        <v>0</v>
      </c>
      <c r="F30" s="280"/>
      <c r="G30" s="280"/>
      <c r="H30" s="16">
        <f>$H$26</f>
        <v>0</v>
      </c>
      <c r="I30" s="280">
        <v>0</v>
      </c>
      <c r="J30" s="280"/>
      <c r="K30" s="14"/>
      <c r="L30" s="14"/>
      <c r="M30" s="14"/>
      <c r="N30" s="13" t="s">
        <v>46</v>
      </c>
      <c r="O30" s="279">
        <v>0</v>
      </c>
      <c r="P30" s="279"/>
      <c r="Q30" s="14"/>
      <c r="R30" s="14"/>
      <c r="S30" s="14"/>
      <c r="T30" s="14"/>
      <c r="U30" s="14"/>
    </row>
    <row r="31" spans="2:22" s="3" customFormat="1">
      <c r="B31" s="286">
        <f>ROUND($B$27,0)</f>
        <v>0</v>
      </c>
      <c r="C31" s="286"/>
      <c r="D31" s="21">
        <f>ROUND(($D$27),0)</f>
        <v>953</v>
      </c>
      <c r="E31" s="286">
        <f>ROUND($E$27,0)</f>
        <v>538</v>
      </c>
      <c r="F31" s="286">
        <f t="shared" ref="F31:U31" si="3">F$27</f>
        <v>0</v>
      </c>
      <c r="G31" s="286">
        <f t="shared" si="3"/>
        <v>0</v>
      </c>
      <c r="H31" s="21">
        <f>ROUND($H$27,0)</f>
        <v>843</v>
      </c>
      <c r="I31" s="286">
        <f>$I$27</f>
        <v>0</v>
      </c>
      <c r="J31" s="286">
        <f t="shared" si="3"/>
        <v>0</v>
      </c>
      <c r="K31" s="21">
        <f>$K$27</f>
        <v>425</v>
      </c>
      <c r="L31" s="21">
        <f>$L$27</f>
        <v>0</v>
      </c>
      <c r="M31" s="21">
        <f>$M$27</f>
        <v>125</v>
      </c>
      <c r="N31" s="25">
        <f>$N$27</f>
        <v>0</v>
      </c>
      <c r="O31" s="286">
        <f>$O$27</f>
        <v>182.49816453125001</v>
      </c>
      <c r="P31" s="286">
        <f t="shared" si="3"/>
        <v>0</v>
      </c>
      <c r="Q31" s="34">
        <f>$Q$27</f>
        <v>0</v>
      </c>
      <c r="R31" s="280">
        <f>$R$27</f>
        <v>3.25</v>
      </c>
      <c r="S31" s="280">
        <f t="shared" si="3"/>
        <v>0</v>
      </c>
      <c r="T31" s="289">
        <f>$T$27</f>
        <v>0</v>
      </c>
      <c r="U31" s="289">
        <f t="shared" si="3"/>
        <v>0</v>
      </c>
      <c r="V31" s="5"/>
    </row>
    <row r="32" spans="2:22" s="3" customFormat="1">
      <c r="B32" s="286">
        <f ca="1">$B$27+($B$27*1*(0.5-RAND()))/100</f>
        <v>0</v>
      </c>
      <c r="C32" s="286"/>
      <c r="D32" s="21">
        <f ca="1">$D$27+($D$27*1*(0.5-RAND()))/100</f>
        <v>951.9110488059913</v>
      </c>
      <c r="E32" s="286">
        <f ca="1">$E$27+($E$27*1*(0.5-RAND()))/100</f>
        <v>537.40412204281267</v>
      </c>
      <c r="F32" s="286"/>
      <c r="G32" s="286"/>
      <c r="H32" s="21">
        <f ca="1">$H$27+($H$27*1*(0.5-RAND()))/100</f>
        <v>844.64216375860781</v>
      </c>
      <c r="I32" s="286">
        <f ca="1">$I$27+($I$27*1*(0.5-RAND()))/100</f>
        <v>0</v>
      </c>
      <c r="J32" s="286"/>
      <c r="K32" s="21">
        <f ca="1">$K$27+($K$27*2*(0.5-RAND()))/100</f>
        <v>429.03295754737616</v>
      </c>
      <c r="L32" s="21">
        <f ca="1">$L$27+($L$27*2*(0.5-RAND()))/100</f>
        <v>0</v>
      </c>
      <c r="M32" s="21">
        <f ca="1">$M$27+($M$27*2*(0.5-RAND()))/100</f>
        <v>126.04994131826311</v>
      </c>
      <c r="N32" s="25">
        <v>0</v>
      </c>
      <c r="O32" s="286">
        <f ca="1">$O$27+($O$27*(Load!$BM$46+Load!$BO$46*RAND()))/100</f>
        <v>184.83747469534705</v>
      </c>
      <c r="P32" s="286"/>
      <c r="Q32" s="16">
        <v>0</v>
      </c>
      <c r="R32" s="280">
        <f ca="1">$R$27+($R$27*2*(0.5-RAND()))/100</f>
        <v>3.2307922006524405</v>
      </c>
      <c r="S32" s="280"/>
      <c r="T32" s="290">
        <v>0</v>
      </c>
      <c r="U32" s="290"/>
      <c r="V32" s="5"/>
    </row>
    <row r="33" spans="2:22" s="3" customFormat="1">
      <c r="B33" s="280">
        <f>$B$25</f>
        <v>0</v>
      </c>
      <c r="C33" s="280"/>
      <c r="D33" s="17">
        <f>$D$25</f>
        <v>2</v>
      </c>
      <c r="E33" s="280">
        <f>$E$25</f>
        <v>1</v>
      </c>
      <c r="F33" s="280"/>
      <c r="G33" s="280"/>
      <c r="H33" s="18">
        <f>$H$25</f>
        <v>1</v>
      </c>
      <c r="I33" s="280">
        <v>0</v>
      </c>
      <c r="J33" s="280"/>
      <c r="K33" s="14"/>
      <c r="L33" s="14"/>
      <c r="M33" s="14"/>
      <c r="N33" s="14"/>
      <c r="O33" s="293">
        <v>0</v>
      </c>
      <c r="P33" s="293"/>
      <c r="Q33" s="14"/>
      <c r="R33" s="14"/>
      <c r="S33" s="14"/>
      <c r="T33" s="14"/>
      <c r="U33" s="14"/>
      <c r="V33" s="5"/>
    </row>
    <row r="34" spans="2:22" s="3" customFormat="1">
      <c r="B34" s="280">
        <f>$B$26</f>
        <v>0</v>
      </c>
      <c r="C34" s="280"/>
      <c r="D34" s="124">
        <f>$D$26</f>
        <v>4.5</v>
      </c>
      <c r="E34" s="280">
        <f>$E$26</f>
        <v>0</v>
      </c>
      <c r="F34" s="280"/>
      <c r="G34" s="280"/>
      <c r="H34" s="16">
        <f>$H$26</f>
        <v>0</v>
      </c>
      <c r="I34" s="280">
        <v>0</v>
      </c>
      <c r="J34" s="280"/>
      <c r="K34" s="14"/>
      <c r="L34" s="14"/>
      <c r="M34" s="14"/>
      <c r="N34" s="13" t="s">
        <v>46</v>
      </c>
      <c r="O34" s="279">
        <v>0</v>
      </c>
      <c r="P34" s="279"/>
      <c r="Q34" s="14"/>
      <c r="R34" s="14"/>
      <c r="S34" s="14"/>
      <c r="T34" s="14"/>
      <c r="U34" s="14"/>
      <c r="V34" s="5"/>
    </row>
    <row r="35" spans="2:22" s="3" customFormat="1">
      <c r="B35" s="286">
        <f>ROUND($B$27,0)</f>
        <v>0</v>
      </c>
      <c r="C35" s="286"/>
      <c r="D35" s="21">
        <f>ROUND(($D$27),0)</f>
        <v>953</v>
      </c>
      <c r="E35" s="286">
        <f>ROUND($E$27,0)</f>
        <v>538</v>
      </c>
      <c r="F35" s="286">
        <f t="shared" ref="F35:G35" si="4">F$27</f>
        <v>0</v>
      </c>
      <c r="G35" s="286">
        <f t="shared" si="4"/>
        <v>0</v>
      </c>
      <c r="H35" s="21">
        <f>ROUND($H$27,0)</f>
        <v>843</v>
      </c>
      <c r="I35" s="286">
        <f>$I$27</f>
        <v>0</v>
      </c>
      <c r="J35" s="286">
        <f t="shared" ref="J35" si="5">J$27</f>
        <v>0</v>
      </c>
      <c r="K35" s="21">
        <f>$K$27</f>
        <v>425</v>
      </c>
      <c r="L35" s="21">
        <f>$L$27</f>
        <v>0</v>
      </c>
      <c r="M35" s="21">
        <f>$M$27</f>
        <v>125</v>
      </c>
      <c r="N35" s="25">
        <f>$N$27</f>
        <v>0</v>
      </c>
      <c r="O35" s="286">
        <f>$O$27</f>
        <v>182.49816453125001</v>
      </c>
      <c r="P35" s="286">
        <f t="shared" ref="P35" si="6">P$27</f>
        <v>0</v>
      </c>
      <c r="Q35" s="16">
        <f>$Q$27</f>
        <v>0</v>
      </c>
      <c r="R35" s="280">
        <f>$R$27</f>
        <v>3.25</v>
      </c>
      <c r="S35" s="280">
        <f t="shared" ref="S35" si="7">S$27</f>
        <v>0</v>
      </c>
      <c r="T35" s="289">
        <f>$T$27</f>
        <v>0</v>
      </c>
      <c r="U35" s="289">
        <f t="shared" ref="U35" si="8">U$27</f>
        <v>0</v>
      </c>
      <c r="V35" s="5"/>
    </row>
    <row r="36" spans="2:22" s="3" customFormat="1">
      <c r="B36" s="286">
        <f ca="1">$B$27+($B$27*1*(0.5-RAND()))/100</f>
        <v>0</v>
      </c>
      <c r="C36" s="286"/>
      <c r="D36" s="21">
        <f ca="1">$D$27+($D$27*1*(0.5-RAND()))/100</f>
        <v>949.73096754214248</v>
      </c>
      <c r="E36" s="286">
        <f ca="1">$E$27+($E$27*1*(0.5-RAND()))/100</f>
        <v>537.04431204984894</v>
      </c>
      <c r="F36" s="286"/>
      <c r="G36" s="286"/>
      <c r="H36" s="21">
        <f ca="1">$H$27+($H$27*1*(0.5-RAND()))/100</f>
        <v>840.78121408901029</v>
      </c>
      <c r="I36" s="286">
        <f ca="1">$I$27+($I$27*1*(0.5-RAND()))/100</f>
        <v>0</v>
      </c>
      <c r="J36" s="286"/>
      <c r="K36" s="21">
        <f ca="1">$K$27+($K$27*2*(0.5-RAND()))/100</f>
        <v>420.75535478436433</v>
      </c>
      <c r="L36" s="21">
        <f ca="1">$L$27+($L$27*2*(0.5-RAND()))/100</f>
        <v>0</v>
      </c>
      <c r="M36" s="21">
        <f ca="1">$M$27+($M$27*2*(0.5-RAND()))/100</f>
        <v>125.63854878802739</v>
      </c>
      <c r="N36" s="25">
        <v>0</v>
      </c>
      <c r="O36" s="286">
        <f ca="1">$O$27+($O$27*(Load!$BM$46+Load!$BO$46*RAND()))/100</f>
        <v>180.99634119545837</v>
      </c>
      <c r="P36" s="286"/>
      <c r="Q36" s="16">
        <v>0</v>
      </c>
      <c r="R36" s="280">
        <f ca="1">$R$27+($R$27*2*(0.5-RAND()))/100</f>
        <v>3.2735932956918559</v>
      </c>
      <c r="S36" s="280"/>
      <c r="T36" s="290">
        <v>0</v>
      </c>
      <c r="U36" s="290"/>
      <c r="V36" s="5"/>
    </row>
    <row r="37" spans="2:22" s="3" customFormat="1">
      <c r="B37" s="280">
        <f>$B$25</f>
        <v>0</v>
      </c>
      <c r="C37" s="280"/>
      <c r="D37" s="17">
        <f>$D$25</f>
        <v>2</v>
      </c>
      <c r="E37" s="280">
        <f>$E$25</f>
        <v>1</v>
      </c>
      <c r="F37" s="280"/>
      <c r="G37" s="280"/>
      <c r="H37" s="18">
        <f>$H$25</f>
        <v>1</v>
      </c>
      <c r="I37" s="280">
        <v>0</v>
      </c>
      <c r="J37" s="280"/>
      <c r="K37" s="14"/>
      <c r="L37" s="14"/>
      <c r="M37" s="14"/>
      <c r="N37" s="14"/>
      <c r="O37" s="293">
        <v>0</v>
      </c>
      <c r="P37" s="293"/>
      <c r="Q37" s="14"/>
      <c r="R37" s="14"/>
      <c r="S37" s="14"/>
      <c r="T37" s="14"/>
      <c r="U37" s="14"/>
      <c r="V37" s="5"/>
    </row>
    <row r="38" spans="2:22" s="3" customFormat="1">
      <c r="B38" s="280">
        <f>$B$26</f>
        <v>0</v>
      </c>
      <c r="C38" s="280"/>
      <c r="D38" s="124">
        <f>$D$26</f>
        <v>4.5</v>
      </c>
      <c r="E38" s="280">
        <f>$E$26</f>
        <v>0</v>
      </c>
      <c r="F38" s="280"/>
      <c r="G38" s="280"/>
      <c r="H38" s="16">
        <f>$H$26</f>
        <v>0</v>
      </c>
      <c r="I38" s="280">
        <v>0</v>
      </c>
      <c r="J38" s="280"/>
      <c r="K38" s="14"/>
      <c r="L38" s="14"/>
      <c r="M38" s="14"/>
      <c r="N38" s="13" t="s">
        <v>46</v>
      </c>
      <c r="O38" s="279">
        <v>0</v>
      </c>
      <c r="P38" s="279"/>
      <c r="Q38" s="14"/>
      <c r="R38" s="14"/>
      <c r="S38" s="14"/>
      <c r="T38" s="14"/>
      <c r="U38" s="14"/>
      <c r="V38" s="5"/>
    </row>
    <row r="39" spans="2:22" s="3" customFormat="1">
      <c r="B39" s="286">
        <f>ROUND($B$27,0)</f>
        <v>0</v>
      </c>
      <c r="C39" s="286"/>
      <c r="D39" s="21">
        <f>ROUND(($D$27),0)</f>
        <v>953</v>
      </c>
      <c r="E39" s="286">
        <f>ROUND($E$27,0)</f>
        <v>538</v>
      </c>
      <c r="F39" s="286">
        <f t="shared" ref="F39:G39" si="9">F$27</f>
        <v>0</v>
      </c>
      <c r="G39" s="286">
        <f t="shared" si="9"/>
        <v>0</v>
      </c>
      <c r="H39" s="21">
        <f>ROUND($H$27,0)</f>
        <v>843</v>
      </c>
      <c r="I39" s="286">
        <f>$I$27</f>
        <v>0</v>
      </c>
      <c r="J39" s="286">
        <f t="shared" ref="J39" si="10">J$27</f>
        <v>0</v>
      </c>
      <c r="K39" s="21">
        <f>$K$27</f>
        <v>425</v>
      </c>
      <c r="L39" s="21">
        <f>$L$27</f>
        <v>0</v>
      </c>
      <c r="M39" s="21">
        <f>$M$27</f>
        <v>125</v>
      </c>
      <c r="N39" s="25">
        <f>$N$27</f>
        <v>0</v>
      </c>
      <c r="O39" s="286">
        <f>$O$27</f>
        <v>182.49816453125001</v>
      </c>
      <c r="P39" s="286">
        <f t="shared" ref="P39" si="11">P$27</f>
        <v>0</v>
      </c>
      <c r="Q39" s="16">
        <f>$Q$27</f>
        <v>0</v>
      </c>
      <c r="R39" s="280">
        <f>$R$27</f>
        <v>3.25</v>
      </c>
      <c r="S39" s="280">
        <f t="shared" ref="S39" si="12">S$27</f>
        <v>0</v>
      </c>
      <c r="T39" s="289">
        <f>$T$27</f>
        <v>0</v>
      </c>
      <c r="U39" s="289">
        <f t="shared" ref="U39" si="13">U$27</f>
        <v>0</v>
      </c>
      <c r="V39" s="5"/>
    </row>
    <row r="40" spans="2:22" s="3" customFormat="1">
      <c r="B40" s="286">
        <f ca="1">$B$27+($B$27*1*(0.5-RAND()))/100</f>
        <v>0</v>
      </c>
      <c r="C40" s="286"/>
      <c r="D40" s="21">
        <f ca="1">$D$27+($D$27*1*(0.5-RAND()))/100</f>
        <v>948.94402053711315</v>
      </c>
      <c r="E40" s="286">
        <f ca="1">$E$27+($E$27*1*(0.5-RAND()))/100</f>
        <v>539.49129069304854</v>
      </c>
      <c r="F40" s="286"/>
      <c r="G40" s="286"/>
      <c r="H40" s="21">
        <f ca="1">$H$27+($H$27*1*(0.5-RAND()))/100</f>
        <v>846.74427982278439</v>
      </c>
      <c r="I40" s="286">
        <f ca="1">$I$27+($I$27*1*(0.5-RAND()))/100</f>
        <v>0</v>
      </c>
      <c r="J40" s="286"/>
      <c r="K40" s="21">
        <f ca="1">$K$27+($K$27*2*(0.5-RAND()))/100</f>
        <v>425.47630532648054</v>
      </c>
      <c r="L40" s="21">
        <f ca="1">$L$27+($L$27*2*(0.5-RAND()))/100</f>
        <v>0</v>
      </c>
      <c r="M40" s="21">
        <f ca="1">$M$27+($M$27*2*(0.5-RAND()))/100</f>
        <v>126.07194260681577</v>
      </c>
      <c r="N40" s="25">
        <v>0</v>
      </c>
      <c r="O40" s="286">
        <f ca="1">$O$27+($O$27*(Load!$BM$46+Load!$BO$46*RAND()))/100</f>
        <v>182.13776887139576</v>
      </c>
      <c r="P40" s="286"/>
      <c r="Q40" s="16">
        <v>0</v>
      </c>
      <c r="R40" s="280">
        <f ca="1">$R$27+($R$27*2*(0.5-RAND()))/100</f>
        <v>3.2186390501540227</v>
      </c>
      <c r="S40" s="280"/>
      <c r="T40" s="290">
        <v>0</v>
      </c>
      <c r="U40" s="290"/>
      <c r="V40" s="5"/>
    </row>
    <row r="41" spans="2:22" s="3" customFormat="1">
      <c r="B41" s="280">
        <f>$B$25</f>
        <v>0</v>
      </c>
      <c r="C41" s="280"/>
      <c r="D41" s="17">
        <f>$D$25</f>
        <v>2</v>
      </c>
      <c r="E41" s="280">
        <f>$E$25</f>
        <v>1</v>
      </c>
      <c r="F41" s="280"/>
      <c r="G41" s="280"/>
      <c r="H41" s="18">
        <f>$H$25</f>
        <v>1</v>
      </c>
      <c r="I41" s="280">
        <v>0</v>
      </c>
      <c r="J41" s="280"/>
      <c r="K41" s="14"/>
      <c r="L41" s="14"/>
      <c r="M41" s="14"/>
      <c r="N41" s="14"/>
      <c r="O41" s="293">
        <v>0</v>
      </c>
      <c r="P41" s="293"/>
      <c r="Q41" s="14"/>
      <c r="R41" s="14"/>
      <c r="S41" s="14"/>
      <c r="T41" s="14"/>
      <c r="U41" s="14"/>
      <c r="V41" s="5"/>
    </row>
    <row r="42" spans="2:22" s="3" customFormat="1">
      <c r="B42" s="280">
        <f>$B$26</f>
        <v>0</v>
      </c>
      <c r="C42" s="280"/>
      <c r="D42" s="124">
        <f>$D$26</f>
        <v>4.5</v>
      </c>
      <c r="E42" s="280">
        <f>$E$26</f>
        <v>0</v>
      </c>
      <c r="F42" s="280"/>
      <c r="G42" s="280"/>
      <c r="H42" s="16">
        <f>$H$26</f>
        <v>0</v>
      </c>
      <c r="I42" s="280">
        <v>0</v>
      </c>
      <c r="J42" s="280"/>
      <c r="K42" s="14"/>
      <c r="L42" s="14"/>
      <c r="M42" s="14"/>
      <c r="N42" s="13" t="s">
        <v>46</v>
      </c>
      <c r="O42" s="279">
        <v>0</v>
      </c>
      <c r="P42" s="279"/>
      <c r="Q42" s="14"/>
      <c r="R42" s="14"/>
      <c r="S42" s="14"/>
      <c r="T42" s="14"/>
      <c r="U42" s="14"/>
      <c r="V42" s="5"/>
    </row>
    <row r="43" spans="2:22" s="3" customFormat="1">
      <c r="B43" s="286">
        <f>ROUND($B$27,0)</f>
        <v>0</v>
      </c>
      <c r="C43" s="286"/>
      <c r="D43" s="21">
        <f>ROUND(($D$27),0)</f>
        <v>953</v>
      </c>
      <c r="E43" s="286">
        <f>ROUND($E$27,0)</f>
        <v>538</v>
      </c>
      <c r="F43" s="286">
        <f t="shared" ref="F43:G43" si="14">F$27</f>
        <v>0</v>
      </c>
      <c r="G43" s="286">
        <f t="shared" si="14"/>
        <v>0</v>
      </c>
      <c r="H43" s="21">
        <f>ROUND($H$27,0)</f>
        <v>843</v>
      </c>
      <c r="I43" s="286">
        <f>$I$27</f>
        <v>0</v>
      </c>
      <c r="J43" s="286">
        <f t="shared" ref="J43" si="15">J$27</f>
        <v>0</v>
      </c>
      <c r="K43" s="21">
        <f>$K$27</f>
        <v>425</v>
      </c>
      <c r="L43" s="21">
        <f>$L$27</f>
        <v>0</v>
      </c>
      <c r="M43" s="21">
        <f>$M$27</f>
        <v>125</v>
      </c>
      <c r="N43" s="25">
        <f>$N$27</f>
        <v>0</v>
      </c>
      <c r="O43" s="286">
        <f>$O$27</f>
        <v>182.49816453125001</v>
      </c>
      <c r="P43" s="286">
        <f t="shared" ref="P43" si="16">P$27</f>
        <v>0</v>
      </c>
      <c r="Q43" s="16">
        <f>$Q$27</f>
        <v>0</v>
      </c>
      <c r="R43" s="280">
        <f>$R$27</f>
        <v>3.25</v>
      </c>
      <c r="S43" s="280">
        <f t="shared" ref="S43" si="17">S$27</f>
        <v>0</v>
      </c>
      <c r="T43" s="289">
        <f>$T$27</f>
        <v>0</v>
      </c>
      <c r="U43" s="289">
        <f t="shared" ref="U43" si="18">U$27</f>
        <v>0</v>
      </c>
      <c r="V43" s="5"/>
    </row>
    <row r="44" spans="2:22" s="3" customFormat="1">
      <c r="B44" s="286">
        <f ca="1">$B$27+($B$27*1*(0.5-RAND()))/100</f>
        <v>0</v>
      </c>
      <c r="C44" s="286"/>
      <c r="D44" s="21">
        <f ca="1">$D$27+($D$27*1*(0.5-RAND()))/100</f>
        <v>949.30739816869016</v>
      </c>
      <c r="E44" s="286">
        <f ca="1">$E$27+($E$27*1*(0.5-RAND()))/100</f>
        <v>537.01106302333415</v>
      </c>
      <c r="F44" s="286"/>
      <c r="G44" s="286"/>
      <c r="H44" s="21">
        <f ca="1">$H$27+($H$27*1*(0.5-RAND()))/100</f>
        <v>843.0995690315799</v>
      </c>
      <c r="I44" s="286">
        <f ca="1">$I$27+($I$27*1*(0.5-RAND()))/100</f>
        <v>0</v>
      </c>
      <c r="J44" s="286"/>
      <c r="K44" s="21">
        <f ca="1">$K$27+($K$27*2*(0.5-RAND()))/100</f>
        <v>422.63909513149144</v>
      </c>
      <c r="L44" s="21">
        <f ca="1">$L$27+($L$27*2*(0.5-RAND()))/100</f>
        <v>0</v>
      </c>
      <c r="M44" s="21">
        <f ca="1">$M$27+($M$27*2*(0.5-RAND()))/100</f>
        <v>124.89328546182908</v>
      </c>
      <c r="N44" s="25">
        <v>0</v>
      </c>
      <c r="O44" s="286">
        <f ca="1">$O$27+($O$27*(Load!$BM$46+Load!$BO$46*RAND()))/100</f>
        <v>181.81945236655079</v>
      </c>
      <c r="P44" s="286"/>
      <c r="Q44" s="16">
        <v>0</v>
      </c>
      <c r="R44" s="280">
        <f ca="1">$R$27+($R$27*2*(0.5-RAND()))/100</f>
        <v>3.2813300995717727</v>
      </c>
      <c r="S44" s="280"/>
      <c r="T44" s="290">
        <v>0</v>
      </c>
      <c r="U44" s="290"/>
      <c r="V44" s="5"/>
    </row>
    <row r="45" spans="2:22" s="3" customFormat="1">
      <c r="B45" s="280">
        <f>$B$25</f>
        <v>0</v>
      </c>
      <c r="C45" s="280"/>
      <c r="D45" s="17">
        <f>$D$25</f>
        <v>2</v>
      </c>
      <c r="E45" s="280">
        <f>$E$25</f>
        <v>1</v>
      </c>
      <c r="F45" s="280"/>
      <c r="G45" s="280"/>
      <c r="H45" s="18">
        <f>$H$25</f>
        <v>1</v>
      </c>
      <c r="I45" s="280">
        <v>0</v>
      </c>
      <c r="J45" s="280"/>
      <c r="K45" s="14"/>
      <c r="L45" s="14"/>
      <c r="M45" s="14"/>
      <c r="N45" s="14"/>
      <c r="O45" s="293">
        <v>0</v>
      </c>
      <c r="P45" s="293"/>
      <c r="Q45" s="14"/>
      <c r="R45" s="14"/>
      <c r="S45" s="14"/>
      <c r="T45" s="14"/>
      <c r="U45" s="14"/>
      <c r="V45" s="5"/>
    </row>
    <row r="46" spans="2:22" s="3" customFormat="1">
      <c r="B46" s="280">
        <f>$B$26</f>
        <v>0</v>
      </c>
      <c r="C46" s="280"/>
      <c r="D46" s="124">
        <f>$D$26</f>
        <v>4.5</v>
      </c>
      <c r="E46" s="280">
        <f>$E$26</f>
        <v>0</v>
      </c>
      <c r="F46" s="280"/>
      <c r="G46" s="280"/>
      <c r="H46" s="16">
        <f>$H$26</f>
        <v>0</v>
      </c>
      <c r="I46" s="280">
        <v>0</v>
      </c>
      <c r="J46" s="280"/>
      <c r="K46" s="14"/>
      <c r="L46" s="14"/>
      <c r="M46" s="14"/>
      <c r="N46" s="13" t="s">
        <v>46</v>
      </c>
      <c r="O46" s="279">
        <v>0</v>
      </c>
      <c r="P46" s="279"/>
      <c r="Q46" s="14"/>
      <c r="R46" s="14"/>
      <c r="S46" s="14"/>
      <c r="T46" s="14"/>
      <c r="U46" s="14"/>
      <c r="V46" s="5"/>
    </row>
    <row r="47" spans="2:22" s="3" customFormat="1">
      <c r="B47" s="286">
        <f>ROUND($B$27,0)</f>
        <v>0</v>
      </c>
      <c r="C47" s="286"/>
      <c r="D47" s="21">
        <f>ROUND(($D$27),0)</f>
        <v>953</v>
      </c>
      <c r="E47" s="286">
        <f>ROUND($E$27,0)</f>
        <v>538</v>
      </c>
      <c r="F47" s="286">
        <f t="shared" ref="F47:G47" si="19">F$27</f>
        <v>0</v>
      </c>
      <c r="G47" s="286">
        <f t="shared" si="19"/>
        <v>0</v>
      </c>
      <c r="H47" s="21">
        <f>ROUND($H$27,0)</f>
        <v>843</v>
      </c>
      <c r="I47" s="286">
        <f>$I$27</f>
        <v>0</v>
      </c>
      <c r="J47" s="286">
        <f t="shared" ref="J47" si="20">J$27</f>
        <v>0</v>
      </c>
      <c r="K47" s="21">
        <f>$K$27</f>
        <v>425</v>
      </c>
      <c r="L47" s="21">
        <f>$L$27</f>
        <v>0</v>
      </c>
      <c r="M47" s="21">
        <f>$M$27</f>
        <v>125</v>
      </c>
      <c r="N47" s="25">
        <f>$N$27</f>
        <v>0</v>
      </c>
      <c r="O47" s="286">
        <f>$O$27</f>
        <v>182.49816453125001</v>
      </c>
      <c r="P47" s="286">
        <f t="shared" ref="P47" si="21">P$27</f>
        <v>0</v>
      </c>
      <c r="Q47" s="16">
        <f>$Q$27</f>
        <v>0</v>
      </c>
      <c r="R47" s="280">
        <f>$R$27</f>
        <v>3.25</v>
      </c>
      <c r="S47" s="280">
        <f t="shared" ref="S47" si="22">S$27</f>
        <v>0</v>
      </c>
      <c r="T47" s="289">
        <f>$T$27</f>
        <v>0</v>
      </c>
      <c r="U47" s="289">
        <f t="shared" ref="U47" si="23">U$27</f>
        <v>0</v>
      </c>
      <c r="V47" s="5"/>
    </row>
    <row r="48" spans="2:22" s="3" customFormat="1">
      <c r="B48" s="286">
        <f ca="1">$B$27+($B$27*1*(0.5-RAND()))/100</f>
        <v>0</v>
      </c>
      <c r="C48" s="286"/>
      <c r="D48" s="21">
        <f ca="1">$D$27+($D$27*1*(0.5-RAND()))/100</f>
        <v>949.40073170134144</v>
      </c>
      <c r="E48" s="286">
        <f ca="1">$E$27+($E$27*1*(0.5-RAND()))/100</f>
        <v>539.71583782977223</v>
      </c>
      <c r="F48" s="286"/>
      <c r="G48" s="286"/>
      <c r="H48" s="21">
        <f ca="1">$H$27+($H$27*1*(0.5-RAND()))/100</f>
        <v>843.72391342424794</v>
      </c>
      <c r="I48" s="286">
        <f ca="1">$I$27+($I$27*1*(0.5-RAND()))/100</f>
        <v>0</v>
      </c>
      <c r="J48" s="286"/>
      <c r="K48" s="21">
        <f ca="1">$K$27+($K$27*2*(0.5-RAND()))/100</f>
        <v>423.15082617544408</v>
      </c>
      <c r="L48" s="21">
        <f ca="1">$L$27+($L$27*2*(0.5-RAND()))/100</f>
        <v>0</v>
      </c>
      <c r="M48" s="21">
        <f ca="1">$M$27+($M$27*2*(0.5-RAND()))/100</f>
        <v>125.12388244292862</v>
      </c>
      <c r="N48" s="25">
        <v>0</v>
      </c>
      <c r="O48" s="286">
        <f ca="1">$O$27+($O$27*(Load!$BM$46+Load!$BO$46*RAND()))/100</f>
        <v>183.03993537292121</v>
      </c>
      <c r="P48" s="286"/>
      <c r="Q48" s="16">
        <v>0</v>
      </c>
      <c r="R48" s="280">
        <f ca="1">$R$27+($R$27*2*(0.5-RAND()))/100</f>
        <v>3.2615669685919801</v>
      </c>
      <c r="S48" s="280"/>
      <c r="T48" s="290">
        <v>0</v>
      </c>
      <c r="U48" s="290"/>
      <c r="V48" s="5"/>
    </row>
    <row r="49" spans="2:22" s="3" customFormat="1">
      <c r="B49" s="280">
        <f>$B$25</f>
        <v>0</v>
      </c>
      <c r="C49" s="280"/>
      <c r="D49" s="17">
        <f>$D$25</f>
        <v>2</v>
      </c>
      <c r="E49" s="280">
        <f>$E$25</f>
        <v>1</v>
      </c>
      <c r="F49" s="280"/>
      <c r="G49" s="280"/>
      <c r="H49" s="18">
        <f>$H$25</f>
        <v>1</v>
      </c>
      <c r="I49" s="280">
        <v>0</v>
      </c>
      <c r="J49" s="280"/>
      <c r="K49" s="14"/>
      <c r="L49" s="14"/>
      <c r="M49" s="14"/>
      <c r="N49" s="14"/>
      <c r="O49" s="293">
        <v>0</v>
      </c>
      <c r="P49" s="293"/>
      <c r="Q49" s="14"/>
      <c r="R49" s="14"/>
      <c r="S49" s="14"/>
      <c r="T49" s="14"/>
      <c r="U49" s="14"/>
      <c r="V49" s="5"/>
    </row>
    <row r="50" spans="2:22" s="3" customFormat="1">
      <c r="B50" s="280">
        <f>$B$26</f>
        <v>0</v>
      </c>
      <c r="C50" s="280"/>
      <c r="D50" s="124">
        <f>$D$26</f>
        <v>4.5</v>
      </c>
      <c r="E50" s="280">
        <f>$E$26</f>
        <v>0</v>
      </c>
      <c r="F50" s="280"/>
      <c r="G50" s="280"/>
      <c r="H50" s="16">
        <f>$H$26</f>
        <v>0</v>
      </c>
      <c r="I50" s="280">
        <v>0</v>
      </c>
      <c r="J50" s="280"/>
      <c r="K50" s="14"/>
      <c r="L50" s="14"/>
      <c r="M50" s="14"/>
      <c r="N50" s="13" t="s">
        <v>46</v>
      </c>
      <c r="O50" s="279">
        <v>0</v>
      </c>
      <c r="P50" s="279"/>
      <c r="Q50" s="14"/>
      <c r="R50" s="14"/>
      <c r="S50" s="14"/>
      <c r="T50" s="14"/>
      <c r="U50" s="14"/>
      <c r="V50" s="5"/>
    </row>
    <row r="51" spans="2:22" s="3" customFormat="1">
      <c r="B51" s="286">
        <f>ROUND($B$27,0)</f>
        <v>0</v>
      </c>
      <c r="C51" s="286"/>
      <c r="D51" s="21">
        <f>ROUND(($D$27),0)</f>
        <v>953</v>
      </c>
      <c r="E51" s="286">
        <f>ROUND($E$27,0)</f>
        <v>538</v>
      </c>
      <c r="F51" s="286">
        <f t="shared" ref="F51:G51" si="24">F$27</f>
        <v>0</v>
      </c>
      <c r="G51" s="286">
        <f t="shared" si="24"/>
        <v>0</v>
      </c>
      <c r="H51" s="21">
        <f>ROUND($H$27,0)</f>
        <v>843</v>
      </c>
      <c r="I51" s="286">
        <f>$I$27</f>
        <v>0</v>
      </c>
      <c r="J51" s="286">
        <f t="shared" ref="J51" si="25">J$27</f>
        <v>0</v>
      </c>
      <c r="K51" s="21">
        <f>$K$27</f>
        <v>425</v>
      </c>
      <c r="L51" s="21">
        <f>$L$27</f>
        <v>0</v>
      </c>
      <c r="M51" s="21">
        <f>$M$27</f>
        <v>125</v>
      </c>
      <c r="N51" s="25">
        <f>$N$27</f>
        <v>0</v>
      </c>
      <c r="O51" s="286">
        <f>$O$27</f>
        <v>182.49816453125001</v>
      </c>
      <c r="P51" s="286">
        <f t="shared" ref="P51" si="26">P$27</f>
        <v>0</v>
      </c>
      <c r="Q51" s="16">
        <f>$Q$27</f>
        <v>0</v>
      </c>
      <c r="R51" s="280">
        <f>$R$27</f>
        <v>3.25</v>
      </c>
      <c r="S51" s="280">
        <f t="shared" ref="S51" si="27">S$27</f>
        <v>0</v>
      </c>
      <c r="T51" s="289">
        <f>$T$27</f>
        <v>0</v>
      </c>
      <c r="U51" s="289">
        <f t="shared" ref="U51" si="28">U$27</f>
        <v>0</v>
      </c>
      <c r="V51" s="5"/>
    </row>
    <row r="52" spans="2:22" s="3" customFormat="1">
      <c r="B52" s="286">
        <f ca="1">$B$27+($B$27*1*(0.5-RAND()))/100</f>
        <v>0</v>
      </c>
      <c r="C52" s="286"/>
      <c r="D52" s="21">
        <f ca="1">$D$27+($D$27*1*(0.5-RAND()))/100</f>
        <v>955.63369656279087</v>
      </c>
      <c r="E52" s="286">
        <f ca="1">$E$27+($E$27*1*(0.5-RAND()))/100</f>
        <v>539.4994565660229</v>
      </c>
      <c r="F52" s="286"/>
      <c r="G52" s="286"/>
      <c r="H52" s="21">
        <f ca="1">$H$27+($H$27*1*(0.5-RAND()))/100</f>
        <v>839.4280240155291</v>
      </c>
      <c r="I52" s="286">
        <f ca="1">$I$27+($I$27*1*(0.5-RAND()))/100</f>
        <v>0</v>
      </c>
      <c r="J52" s="286"/>
      <c r="K52" s="21">
        <f ca="1">$K$27+($K$27*2*(0.5-RAND()))/100</f>
        <v>422.38537792533401</v>
      </c>
      <c r="L52" s="21">
        <f ca="1">$L$27+($L$27*2*(0.5-RAND()))/100</f>
        <v>0</v>
      </c>
      <c r="M52" s="21">
        <f ca="1">$M$27+($M$27*2*(0.5-RAND()))/100</f>
        <v>123.76892252780684</v>
      </c>
      <c r="N52" s="25">
        <v>0</v>
      </c>
      <c r="O52" s="286">
        <f ca="1">$O$27+($O$27*(Load!$BM$46+Load!$BO$46*RAND()))/100</f>
        <v>185.23125776754722</v>
      </c>
      <c r="P52" s="286"/>
      <c r="Q52" s="16">
        <v>0</v>
      </c>
      <c r="R52" s="280">
        <f ca="1">$R$27+($R$27*2*(0.5-RAND()))/100</f>
        <v>3.227875079040528</v>
      </c>
      <c r="S52" s="280"/>
      <c r="T52" s="290">
        <v>0</v>
      </c>
      <c r="U52" s="290"/>
      <c r="V52" s="5"/>
    </row>
    <row r="53" spans="2:22" s="3" customFormat="1">
      <c r="B53" s="280">
        <f>$B$25</f>
        <v>0</v>
      </c>
      <c r="C53" s="280"/>
      <c r="D53" s="17">
        <f>$D$25</f>
        <v>2</v>
      </c>
      <c r="E53" s="280">
        <f>$E$25</f>
        <v>1</v>
      </c>
      <c r="F53" s="280"/>
      <c r="G53" s="280"/>
      <c r="H53" s="18">
        <f>$H$25</f>
        <v>1</v>
      </c>
      <c r="I53" s="280">
        <v>0</v>
      </c>
      <c r="J53" s="280"/>
      <c r="K53" s="14"/>
      <c r="L53" s="14"/>
      <c r="M53" s="14"/>
      <c r="N53" s="14"/>
      <c r="O53" s="293">
        <v>0</v>
      </c>
      <c r="P53" s="293"/>
      <c r="Q53" s="14"/>
      <c r="R53" s="14"/>
      <c r="S53" s="14"/>
      <c r="T53" s="14"/>
      <c r="U53" s="14"/>
      <c r="V53" s="5"/>
    </row>
    <row r="54" spans="2:22" s="3" customFormat="1">
      <c r="B54" s="280">
        <f>$B$26</f>
        <v>0</v>
      </c>
      <c r="C54" s="280"/>
      <c r="D54" s="124">
        <f>$D$26</f>
        <v>4.5</v>
      </c>
      <c r="E54" s="280">
        <f>$E$26</f>
        <v>0</v>
      </c>
      <c r="F54" s="280"/>
      <c r="G54" s="280"/>
      <c r="H54" s="16">
        <f>$H$26</f>
        <v>0</v>
      </c>
      <c r="I54" s="280">
        <v>0</v>
      </c>
      <c r="J54" s="280"/>
      <c r="K54" s="14"/>
      <c r="L54" s="14"/>
      <c r="M54" s="14"/>
      <c r="N54" s="13" t="s">
        <v>46</v>
      </c>
      <c r="O54" s="279">
        <v>0</v>
      </c>
      <c r="P54" s="279"/>
      <c r="Q54" s="14"/>
      <c r="R54" s="14"/>
      <c r="S54" s="14"/>
      <c r="T54" s="14"/>
      <c r="U54" s="14"/>
      <c r="V54" s="5"/>
    </row>
    <row r="55" spans="2:22" s="3" customFormat="1">
      <c r="B55" s="286">
        <f>ROUND($B$27,0)</f>
        <v>0</v>
      </c>
      <c r="C55" s="286"/>
      <c r="D55" s="21">
        <f>ROUND(($D$27),0)</f>
        <v>953</v>
      </c>
      <c r="E55" s="286">
        <f>ROUND($E$27,0)</f>
        <v>538</v>
      </c>
      <c r="F55" s="286">
        <f t="shared" ref="F55:G55" si="29">F$27</f>
        <v>0</v>
      </c>
      <c r="G55" s="286">
        <f t="shared" si="29"/>
        <v>0</v>
      </c>
      <c r="H55" s="21">
        <f>ROUND($H$27,0)</f>
        <v>843</v>
      </c>
      <c r="I55" s="286">
        <f>$I$27</f>
        <v>0</v>
      </c>
      <c r="J55" s="286">
        <f t="shared" ref="J55" si="30">J$27</f>
        <v>0</v>
      </c>
      <c r="K55" s="21">
        <f>$K$27</f>
        <v>425</v>
      </c>
      <c r="L55" s="21">
        <f>$L$27</f>
        <v>0</v>
      </c>
      <c r="M55" s="21">
        <f>$M$27</f>
        <v>125</v>
      </c>
      <c r="N55" s="25">
        <f>$N$27</f>
        <v>0</v>
      </c>
      <c r="O55" s="286">
        <f>$O$27</f>
        <v>182.49816453125001</v>
      </c>
      <c r="P55" s="286">
        <f t="shared" ref="P55" si="31">P$27</f>
        <v>0</v>
      </c>
      <c r="Q55" s="16">
        <f>$Q$27</f>
        <v>0</v>
      </c>
      <c r="R55" s="280">
        <f>$R$27</f>
        <v>3.25</v>
      </c>
      <c r="S55" s="280">
        <f t="shared" ref="S55" si="32">S$27</f>
        <v>0</v>
      </c>
      <c r="T55" s="289">
        <f>$T$27</f>
        <v>0</v>
      </c>
      <c r="U55" s="289">
        <f t="shared" ref="U55" si="33">U$27</f>
        <v>0</v>
      </c>
      <c r="V55" s="5"/>
    </row>
    <row r="56" spans="2:22" s="3" customFormat="1">
      <c r="B56" s="286">
        <f ca="1">$B$27+($B$27*1*(0.5-RAND()))/100</f>
        <v>0</v>
      </c>
      <c r="C56" s="286"/>
      <c r="D56" s="21">
        <f ca="1">$D$27+($D$27*1*(0.5-RAND()))/100</f>
        <v>948.76847801706697</v>
      </c>
      <c r="E56" s="286">
        <f ca="1">$E$27+($E$27*1*(0.5-RAND()))/100</f>
        <v>540.14537914632854</v>
      </c>
      <c r="F56" s="286"/>
      <c r="G56" s="286"/>
      <c r="H56" s="21">
        <f ca="1">$H$27+($H$27*1*(0.5-RAND()))/100</f>
        <v>840.56872247787669</v>
      </c>
      <c r="I56" s="286">
        <f ca="1">$I$27+($I$27*1*(0.5-RAND()))/100</f>
        <v>0</v>
      </c>
      <c r="J56" s="286"/>
      <c r="K56" s="21">
        <f ca="1">$K$27+($K$27*2*(0.5-RAND()))/100</f>
        <v>421.69995082947861</v>
      </c>
      <c r="L56" s="21">
        <f ca="1">$L$27+($L$27*2*(0.5-RAND()))/100</f>
        <v>0</v>
      </c>
      <c r="M56" s="21">
        <f ca="1">$M$27+($M$27*2*(0.5-RAND()))/100</f>
        <v>124.68638411990132</v>
      </c>
      <c r="N56" s="25">
        <v>0</v>
      </c>
      <c r="O56" s="286">
        <f ca="1">$O$27+($O$27*(Load!$BM$46+Load!$BO$46*RAND()))/100</f>
        <v>182.54615231536016</v>
      </c>
      <c r="P56" s="286"/>
      <c r="Q56" s="16">
        <v>0</v>
      </c>
      <c r="R56" s="280">
        <f ca="1">$R$27+($R$27*2*(0.5-RAND()))/100</f>
        <v>3.262141226905821</v>
      </c>
      <c r="S56" s="280"/>
      <c r="T56" s="290">
        <v>0</v>
      </c>
      <c r="U56" s="290"/>
      <c r="V56" s="5"/>
    </row>
    <row r="57" spans="2:22" s="4" customFormat="1" ht="18" customHeight="1">
      <c r="B57" s="22" t="s">
        <v>47</v>
      </c>
      <c r="C57" s="22"/>
      <c r="D57" s="23"/>
      <c r="E57" s="24"/>
      <c r="F57" s="24"/>
      <c r="G57" s="24"/>
      <c r="H57" s="23"/>
      <c r="I57" s="24"/>
      <c r="J57" s="24"/>
      <c r="K57" s="23"/>
      <c r="L57" s="23"/>
      <c r="M57" s="23"/>
      <c r="N57" s="28" t="s">
        <v>48</v>
      </c>
      <c r="O57" s="288">
        <v>0</v>
      </c>
      <c r="P57" s="288"/>
      <c r="Q57" s="23"/>
      <c r="R57" s="23"/>
      <c r="S57" s="23"/>
      <c r="T57" s="23"/>
      <c r="U57" s="23"/>
    </row>
    <row r="58" spans="2:22" s="3" customFormat="1" ht="17.5" customHeight="1">
      <c r="B58" s="285">
        <f>B51+B47+B43+B39+B35+B31+B27+B55</f>
        <v>0</v>
      </c>
      <c r="C58" s="285"/>
      <c r="D58" s="21">
        <f>ROUND((D51+D47+D43+D39+D35+D31+D27+D55),0)</f>
        <v>7624</v>
      </c>
      <c r="E58" s="286">
        <f>E51+E47+E43+E39+E35+E31+E27+E55</f>
        <v>4304.3668749999997</v>
      </c>
      <c r="F58" s="286"/>
      <c r="G58" s="286"/>
      <c r="H58" s="21">
        <f>H51+H47+H43+H39+H35+H31+H27+H55</f>
        <v>6743.8226249999998</v>
      </c>
      <c r="I58" s="286">
        <f>I51+I47+I43+I39+I35+I31+I27+I55</f>
        <v>0</v>
      </c>
      <c r="J58" s="286"/>
      <c r="K58" s="21">
        <f>K51+K47+K43+K39+K35+K31+K27+K55</f>
        <v>3400</v>
      </c>
      <c r="L58" s="21">
        <f>L51+L47+L43+L39+L35+L31+L27+L55</f>
        <v>0</v>
      </c>
      <c r="M58" s="21">
        <f>M51+M47+M43+M39+M35+M31+M27+M55</f>
        <v>1000</v>
      </c>
      <c r="N58" s="21">
        <v>0</v>
      </c>
      <c r="O58" s="287">
        <f>O51+O47+O43+O39+O35+O31+O27+O55</f>
        <v>1459.9853162500001</v>
      </c>
      <c r="P58" s="287"/>
      <c r="Q58" s="35">
        <f>Q51+Q47+Q43+Q39+Q35+Q31+Q27+Q55</f>
        <v>0</v>
      </c>
      <c r="R58" s="284">
        <f>R51+R47+R43+R39+R35+R31+R27+R55</f>
        <v>26</v>
      </c>
      <c r="S58" s="284"/>
      <c r="T58" s="284">
        <f>T51+T47+T43+T39+T35+T31+T27+T55</f>
        <v>0</v>
      </c>
      <c r="U58" s="284"/>
    </row>
    <row r="59" spans="2:22" s="3" customFormat="1" ht="22" customHeight="1">
      <c r="B59" s="2" t="s">
        <v>49</v>
      </c>
      <c r="C59" s="5"/>
      <c r="D59" s="14"/>
      <c r="E59" s="17"/>
      <c r="F59" s="17"/>
      <c r="G59" s="17"/>
      <c r="H59" s="14"/>
      <c r="I59" s="17"/>
      <c r="J59" s="17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</row>
    <row r="60" spans="2:22" s="3" customFormat="1" ht="17.5" customHeight="1">
      <c r="B60" s="285">
        <f ca="1">B52+B48+B44+B40+B36+B32+B28+B56</f>
        <v>0</v>
      </c>
      <c r="C60" s="285"/>
      <c r="D60" s="21">
        <f ca="1">D52+D48+D44+D40+D36+D32+D28+D56</f>
        <v>7607.2370718660059</v>
      </c>
      <c r="E60" s="286">
        <f ca="1">E52+E48+E44+E40+E36+E32+E28+E56</f>
        <v>4309.6974164301482</v>
      </c>
      <c r="F60" s="286"/>
      <c r="G60" s="286"/>
      <c r="H60" s="21">
        <f ca="1">H52+H48+H44+H40+H36+H32+H28+H56</f>
        <v>6742.4125276347004</v>
      </c>
      <c r="I60" s="286">
        <f ca="1">I52+I48+I44+I40+I36+I32+I28+I56</f>
        <v>0</v>
      </c>
      <c r="J60" s="286"/>
      <c r="K60" s="21">
        <f ca="1">K52+K48+K44+K40+K36+K32+K28+K56</f>
        <v>3391.8249057360613</v>
      </c>
      <c r="L60" s="21">
        <f ca="1">L52+L48+L44+L40+L36+L32+L28+L56</f>
        <v>0</v>
      </c>
      <c r="M60" s="21">
        <f ca="1">M52+M48+M44+M40+M36+M32+M28+M56</f>
        <v>1002.394314626509</v>
      </c>
      <c r="N60" s="21">
        <f ca="1">N52+N48+N44+N40+N36+N32+N28+N56</f>
        <v>0</v>
      </c>
      <c r="O60" s="287">
        <f ca="1">O52+O48+O44+O40+O36+O32+O28+O56</f>
        <v>1459.9090800372055</v>
      </c>
      <c r="P60" s="287"/>
      <c r="Q60" s="35">
        <f>Q52+Q48+Q44+Q40+Q36+Q32+Q28+Q56</f>
        <v>0</v>
      </c>
      <c r="R60" s="284">
        <f ca="1">R52+R48+R44+R40+R36+R32+R28+R56</f>
        <v>25.988355185978133</v>
      </c>
      <c r="S60" s="284"/>
      <c r="T60" s="284">
        <f>T52+T48+T44+T40+T36+T32+T28+T56</f>
        <v>0</v>
      </c>
      <c r="U60" s="284">
        <f t="shared" ref="U60" si="34">U52+U48+U44+U40+U36+U32+U28</f>
        <v>0</v>
      </c>
    </row>
    <row r="61" spans="2:22" s="3" customFormat="1" ht="2.5" customHeight="1">
      <c r="B61" s="283"/>
      <c r="C61" s="283"/>
      <c r="D61" s="283"/>
      <c r="E61" s="283"/>
      <c r="F61" s="283"/>
      <c r="G61" s="283"/>
      <c r="H61" s="283"/>
      <c r="I61" s="283"/>
      <c r="J61" s="283"/>
      <c r="K61" s="283"/>
      <c r="L61" s="283"/>
      <c r="M61" s="283"/>
      <c r="N61" s="283"/>
      <c r="O61" s="283"/>
      <c r="P61" s="283"/>
      <c r="Q61" s="283"/>
      <c r="R61" s="283"/>
      <c r="S61" s="283"/>
      <c r="T61" s="283"/>
      <c r="U61" s="283"/>
    </row>
    <row r="62" spans="2:22" s="3" customFormat="1" ht="9.65" customHeight="1">
      <c r="B62" s="5"/>
      <c r="C62" s="5"/>
      <c r="D62" s="26"/>
      <c r="E62" s="17"/>
      <c r="F62" s="17"/>
      <c r="G62" s="17"/>
      <c r="H62" s="26"/>
      <c r="I62" s="17"/>
      <c r="J62" s="17"/>
      <c r="K62" s="26"/>
      <c r="L62" s="26"/>
      <c r="M62" s="26"/>
      <c r="N62" s="26"/>
      <c r="O62" s="26"/>
      <c r="P62" s="26"/>
      <c r="Q62" s="36"/>
      <c r="S62" s="26"/>
      <c r="T62" s="26"/>
      <c r="U62" s="26"/>
    </row>
    <row r="63" spans="2:22" s="3" customFormat="1">
      <c r="B63" s="5"/>
      <c r="C63" s="5"/>
      <c r="D63" s="26"/>
      <c r="E63" s="17"/>
      <c r="F63" s="17"/>
      <c r="G63" s="17"/>
      <c r="H63" s="26"/>
      <c r="I63" s="17"/>
      <c r="J63" s="17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</row>
    <row r="64" spans="2:22" s="3" customFormat="1">
      <c r="B64" s="5"/>
      <c r="C64" s="5"/>
      <c r="D64" s="26"/>
      <c r="E64" s="17"/>
      <c r="F64" s="17"/>
      <c r="G64" s="17"/>
      <c r="H64" s="26"/>
      <c r="I64" s="17"/>
      <c r="J64" s="17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</row>
    <row r="65" spans="2:21" s="3" customFormat="1">
      <c r="B65" s="5"/>
      <c r="C65" s="5"/>
      <c r="D65" s="26"/>
      <c r="E65" s="17"/>
      <c r="F65" s="17"/>
      <c r="G65" s="17"/>
      <c r="H65" s="26"/>
      <c r="I65" s="17"/>
      <c r="J65" s="17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</row>
    <row r="66" spans="2:21" s="3" customFormat="1">
      <c r="B66" s="5"/>
      <c r="C66" s="5"/>
      <c r="D66" s="26"/>
      <c r="E66" s="17"/>
      <c r="F66" s="17"/>
      <c r="G66" s="17"/>
      <c r="H66" s="26"/>
      <c r="I66" s="17"/>
      <c r="J66" s="17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</row>
    <row r="67" spans="2:21" s="3" customFormat="1">
      <c r="B67" s="279"/>
      <c r="C67" s="279"/>
      <c r="D67" s="26"/>
      <c r="E67" s="280"/>
      <c r="F67" s="280"/>
      <c r="G67" s="280"/>
      <c r="H67" s="26"/>
      <c r="I67" s="280"/>
      <c r="J67" s="280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</row>
    <row r="68" spans="2:21" s="3" customFormat="1">
      <c r="B68" s="279"/>
      <c r="C68" s="279"/>
      <c r="D68" s="26"/>
      <c r="E68" s="280"/>
      <c r="F68" s="280"/>
      <c r="G68" s="280"/>
      <c r="H68" s="26"/>
      <c r="I68" s="280"/>
      <c r="J68" s="280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</row>
    <row r="69" spans="2:21" s="3" customFormat="1">
      <c r="B69" s="279"/>
      <c r="C69" s="279"/>
      <c r="D69" s="26"/>
      <c r="E69" s="26"/>
      <c r="F69" s="26"/>
      <c r="G69" s="26"/>
      <c r="H69" s="26"/>
      <c r="I69" s="280"/>
      <c r="J69" s="280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</row>
    <row r="70" spans="2:21" s="3" customFormat="1">
      <c r="B70" s="279"/>
      <c r="C70" s="279"/>
      <c r="D70" s="26"/>
      <c r="E70" s="26"/>
      <c r="F70" s="26"/>
      <c r="G70" s="26"/>
      <c r="H70" s="26"/>
      <c r="I70" s="280"/>
      <c r="J70" s="280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</row>
    <row r="71" spans="2:21" s="3" customFormat="1">
      <c r="B71" s="279"/>
      <c r="C71" s="279"/>
      <c r="D71" s="26"/>
      <c r="E71" s="26"/>
      <c r="F71" s="26"/>
      <c r="G71" s="26"/>
      <c r="H71" s="26"/>
      <c r="I71" s="280"/>
      <c r="J71" s="280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</row>
    <row r="72" spans="2:21" s="3" customFormat="1">
      <c r="B72" s="279"/>
      <c r="C72" s="279"/>
      <c r="D72" s="26"/>
      <c r="E72" s="26"/>
      <c r="F72" s="26"/>
      <c r="G72" s="26"/>
      <c r="H72" s="26"/>
      <c r="I72" s="280"/>
      <c r="J72" s="280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</row>
    <row r="73" spans="2:21" s="3" customFormat="1">
      <c r="B73" s="26"/>
      <c r="C73" s="26"/>
      <c r="D73" s="26"/>
      <c r="E73" s="26"/>
      <c r="F73" s="26"/>
      <c r="G73" s="26"/>
      <c r="H73" s="26"/>
      <c r="I73" s="281"/>
      <c r="J73" s="281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</row>
    <row r="74" spans="2:21"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</row>
    <row r="75" spans="2:21"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</row>
    <row r="76" spans="2:21"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</row>
    <row r="77" spans="2:21"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</row>
    <row r="78" spans="2:21"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</row>
    <row r="79" spans="2:21"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</row>
    <row r="80" spans="2:21"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</row>
    <row r="81" spans="2:21"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</row>
    <row r="82" spans="2:21"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</row>
    <row r="83" spans="2:21"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</row>
    <row r="84" spans="2:21"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</row>
  </sheetData>
  <sheetProtection selectLockedCells="1"/>
  <mergeCells count="214">
    <mergeCell ref="G9:J9"/>
    <mergeCell ref="G10:J10"/>
    <mergeCell ref="J11:K11"/>
    <mergeCell ref="B20:J20"/>
    <mergeCell ref="K20:M20"/>
    <mergeCell ref="N20:P20"/>
    <mergeCell ref="B2:U2"/>
    <mergeCell ref="E3:Q4"/>
    <mergeCell ref="B7:U7"/>
    <mergeCell ref="G8:J8"/>
    <mergeCell ref="P8:R8"/>
    <mergeCell ref="S8:T8"/>
    <mergeCell ref="B23:C23"/>
    <mergeCell ref="E23:G23"/>
    <mergeCell ref="I23:J23"/>
    <mergeCell ref="O23:P23"/>
    <mergeCell ref="R23:S23"/>
    <mergeCell ref="T23:U23"/>
    <mergeCell ref="R20:U20"/>
    <mergeCell ref="B21:C21"/>
    <mergeCell ref="E21:G21"/>
    <mergeCell ref="I21:J21"/>
    <mergeCell ref="O21:P21"/>
    <mergeCell ref="R21:S21"/>
    <mergeCell ref="T21:U21"/>
    <mergeCell ref="R28:S28"/>
    <mergeCell ref="T28:U28"/>
    <mergeCell ref="B27:C27"/>
    <mergeCell ref="E27:G27"/>
    <mergeCell ref="I27:J27"/>
    <mergeCell ref="O27:P27"/>
    <mergeCell ref="R27:S27"/>
    <mergeCell ref="T27:U27"/>
    <mergeCell ref="B25:C25"/>
    <mergeCell ref="E25:G25"/>
    <mergeCell ref="I25:J25"/>
    <mergeCell ref="O25:P25"/>
    <mergeCell ref="B26:C26"/>
    <mergeCell ref="E26:G26"/>
    <mergeCell ref="I26:J26"/>
    <mergeCell ref="O26:P26"/>
    <mergeCell ref="B29:C29"/>
    <mergeCell ref="E29:G29"/>
    <mergeCell ref="I29:J29"/>
    <mergeCell ref="O29:P29"/>
    <mergeCell ref="B30:C30"/>
    <mergeCell ref="E30:G30"/>
    <mergeCell ref="I30:J30"/>
    <mergeCell ref="O30:P30"/>
    <mergeCell ref="B28:C28"/>
    <mergeCell ref="E28:G28"/>
    <mergeCell ref="I28:J28"/>
    <mergeCell ref="O28:P28"/>
    <mergeCell ref="B32:C32"/>
    <mergeCell ref="E32:G32"/>
    <mergeCell ref="I32:J32"/>
    <mergeCell ref="O32:P32"/>
    <mergeCell ref="R32:S32"/>
    <mergeCell ref="T32:U32"/>
    <mergeCell ref="B31:C31"/>
    <mergeCell ref="E31:G31"/>
    <mergeCell ref="I31:J31"/>
    <mergeCell ref="O31:P31"/>
    <mergeCell ref="R31:S31"/>
    <mergeCell ref="T31:U31"/>
    <mergeCell ref="R36:S36"/>
    <mergeCell ref="T36:U36"/>
    <mergeCell ref="B35:C35"/>
    <mergeCell ref="E35:G35"/>
    <mergeCell ref="I35:J35"/>
    <mergeCell ref="O35:P35"/>
    <mergeCell ref="R35:S35"/>
    <mergeCell ref="T35:U35"/>
    <mergeCell ref="B33:C33"/>
    <mergeCell ref="E33:G33"/>
    <mergeCell ref="I33:J33"/>
    <mergeCell ref="O33:P33"/>
    <mergeCell ref="B34:C34"/>
    <mergeCell ref="E34:G34"/>
    <mergeCell ref="I34:J34"/>
    <mergeCell ref="O34:P34"/>
    <mergeCell ref="B37:C37"/>
    <mergeCell ref="E37:G37"/>
    <mergeCell ref="I37:J37"/>
    <mergeCell ref="O37:P37"/>
    <mergeCell ref="B38:C38"/>
    <mergeCell ref="E38:G38"/>
    <mergeCell ref="I38:J38"/>
    <mergeCell ref="O38:P38"/>
    <mergeCell ref="B36:C36"/>
    <mergeCell ref="E36:G36"/>
    <mergeCell ref="I36:J36"/>
    <mergeCell ref="O36:P36"/>
    <mergeCell ref="B40:C40"/>
    <mergeCell ref="E40:G40"/>
    <mergeCell ref="I40:J40"/>
    <mergeCell ref="O40:P40"/>
    <mergeCell ref="R40:S40"/>
    <mergeCell ref="T40:U40"/>
    <mergeCell ref="B39:C39"/>
    <mergeCell ref="E39:G39"/>
    <mergeCell ref="I39:J39"/>
    <mergeCell ref="O39:P39"/>
    <mergeCell ref="R39:S39"/>
    <mergeCell ref="T39:U39"/>
    <mergeCell ref="R44:S44"/>
    <mergeCell ref="T44:U44"/>
    <mergeCell ref="B43:C43"/>
    <mergeCell ref="E43:G43"/>
    <mergeCell ref="I43:J43"/>
    <mergeCell ref="O43:P43"/>
    <mergeCell ref="R43:S43"/>
    <mergeCell ref="T43:U43"/>
    <mergeCell ref="B41:C41"/>
    <mergeCell ref="E41:G41"/>
    <mergeCell ref="I41:J41"/>
    <mergeCell ref="O41:P41"/>
    <mergeCell ref="B42:C42"/>
    <mergeCell ref="E42:G42"/>
    <mergeCell ref="I42:J42"/>
    <mergeCell ref="O42:P42"/>
    <mergeCell ref="B45:C45"/>
    <mergeCell ref="E45:G45"/>
    <mergeCell ref="I45:J45"/>
    <mergeCell ref="O45:P45"/>
    <mergeCell ref="B46:C46"/>
    <mergeCell ref="E46:G46"/>
    <mergeCell ref="I46:J46"/>
    <mergeCell ref="O46:P46"/>
    <mergeCell ref="B44:C44"/>
    <mergeCell ref="E44:G44"/>
    <mergeCell ref="I44:J44"/>
    <mergeCell ref="O44:P44"/>
    <mergeCell ref="B48:C48"/>
    <mergeCell ref="E48:G48"/>
    <mergeCell ref="I48:J48"/>
    <mergeCell ref="O48:P48"/>
    <mergeCell ref="R48:S48"/>
    <mergeCell ref="T48:U48"/>
    <mergeCell ref="B47:C47"/>
    <mergeCell ref="E47:G47"/>
    <mergeCell ref="I47:J47"/>
    <mergeCell ref="O47:P47"/>
    <mergeCell ref="R47:S47"/>
    <mergeCell ref="T47:U47"/>
    <mergeCell ref="R51:S51"/>
    <mergeCell ref="T51:U51"/>
    <mergeCell ref="B49:C49"/>
    <mergeCell ref="E49:G49"/>
    <mergeCell ref="I49:J49"/>
    <mergeCell ref="O49:P49"/>
    <mergeCell ref="B50:C50"/>
    <mergeCell ref="E50:G50"/>
    <mergeCell ref="I50:J50"/>
    <mergeCell ref="O50:P50"/>
    <mergeCell ref="E54:G54"/>
    <mergeCell ref="I54:J54"/>
    <mergeCell ref="O54:P54"/>
    <mergeCell ref="B55:C55"/>
    <mergeCell ref="E55:G55"/>
    <mergeCell ref="I55:J55"/>
    <mergeCell ref="O55:P55"/>
    <mergeCell ref="B51:C51"/>
    <mergeCell ref="E51:G51"/>
    <mergeCell ref="I51:J51"/>
    <mergeCell ref="O51:P51"/>
    <mergeCell ref="T58:U58"/>
    <mergeCell ref="B60:C60"/>
    <mergeCell ref="E60:G60"/>
    <mergeCell ref="I60:J60"/>
    <mergeCell ref="O60:P60"/>
    <mergeCell ref="R60:S60"/>
    <mergeCell ref="T60:U60"/>
    <mergeCell ref="R58:S58"/>
    <mergeCell ref="B52:C52"/>
    <mergeCell ref="E52:G52"/>
    <mergeCell ref="I52:J52"/>
    <mergeCell ref="O52:P52"/>
    <mergeCell ref="R52:S52"/>
    <mergeCell ref="T52:U52"/>
    <mergeCell ref="R55:S55"/>
    <mergeCell ref="T55:U55"/>
    <mergeCell ref="B56:C56"/>
    <mergeCell ref="E56:G56"/>
    <mergeCell ref="I56:J56"/>
    <mergeCell ref="O56:P56"/>
    <mergeCell ref="R56:S56"/>
    <mergeCell ref="T56:U56"/>
    <mergeCell ref="O53:P53"/>
    <mergeCell ref="B54:C54"/>
    <mergeCell ref="B72:C72"/>
    <mergeCell ref="I72:J72"/>
    <mergeCell ref="O57:P57"/>
    <mergeCell ref="B58:C58"/>
    <mergeCell ref="E58:G58"/>
    <mergeCell ref="I58:J58"/>
    <mergeCell ref="O58:P58"/>
    <mergeCell ref="I73:J73"/>
    <mergeCell ref="B53:C53"/>
    <mergeCell ref="E53:G53"/>
    <mergeCell ref="I53:J53"/>
    <mergeCell ref="B69:C69"/>
    <mergeCell ref="I69:J69"/>
    <mergeCell ref="B70:C70"/>
    <mergeCell ref="I70:J70"/>
    <mergeCell ref="B71:C71"/>
    <mergeCell ref="I71:J71"/>
    <mergeCell ref="B61:U61"/>
    <mergeCell ref="B67:C67"/>
    <mergeCell ref="E67:G67"/>
    <mergeCell ref="I67:J67"/>
    <mergeCell ref="B68:C68"/>
    <mergeCell ref="E68:G68"/>
    <mergeCell ref="I68:J68"/>
  </mergeCells>
  <printOptions horizontalCentered="1"/>
  <pageMargins left="3.9370078740157501E-2" right="3.9370078740157501E-2" top="0.55118110236220497" bottom="0.43307086614173201" header="0.196850393700787" footer="0.31496062992126"/>
  <pageSetup scale="94" orientation="portrait" horizontalDpi="360" verticalDpi="36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B1:AA84"/>
  <sheetViews>
    <sheetView showGridLines="0" showRowColHeaders="0" workbookViewId="0">
      <selection activeCell="J11" sqref="J11:K11"/>
    </sheetView>
  </sheetViews>
  <sheetFormatPr defaultColWidth="8.7265625" defaultRowHeight="14"/>
  <cols>
    <col min="1" max="1" width="8.7265625" style="5"/>
    <col min="2" max="2" width="2.453125" style="5" customWidth="1"/>
    <col min="3" max="3" width="4.7265625" style="5" customWidth="1"/>
    <col min="4" max="4" width="6.453125" style="5" customWidth="1"/>
    <col min="5" max="7" width="2.54296875" style="5" customWidth="1"/>
    <col min="8" max="8" width="7.453125" style="5" customWidth="1"/>
    <col min="9" max="9" width="2.7265625" style="5" customWidth="1"/>
    <col min="10" max="10" width="4.1796875" style="5" customWidth="1"/>
    <col min="11" max="13" width="8.1796875" style="5" customWidth="1"/>
    <col min="14" max="14" width="9.54296875" style="5" customWidth="1"/>
    <col min="15" max="16" width="4.54296875" style="5" customWidth="1"/>
    <col min="17" max="17" width="10.453125" style="5" customWidth="1"/>
    <col min="18" max="19" width="4.7265625" style="5" customWidth="1"/>
    <col min="20" max="20" width="7.1796875" style="5" customWidth="1"/>
    <col min="21" max="21" width="3.26953125" style="5" customWidth="1"/>
    <col min="22" max="22" width="5.81640625" style="5" customWidth="1"/>
    <col min="23" max="23" width="16.81640625" style="5" customWidth="1"/>
    <col min="24" max="25" width="8.7265625" style="5" hidden="1" customWidth="1"/>
    <col min="26" max="26" width="12.453125" style="5" hidden="1" customWidth="1"/>
    <col min="27" max="27" width="8.7265625" style="5" hidden="1" customWidth="1"/>
    <col min="28" max="16384" width="8.7265625" style="5"/>
  </cols>
  <sheetData>
    <row r="1" spans="2:27" ht="8.15" customHeight="1"/>
    <row r="2" spans="2:27" ht="20">
      <c r="B2" s="300" t="s">
        <v>22</v>
      </c>
      <c r="C2" s="300"/>
      <c r="D2" s="300"/>
      <c r="E2" s="300"/>
      <c r="F2" s="300"/>
      <c r="G2" s="300"/>
      <c r="H2" s="300"/>
      <c r="I2" s="300"/>
      <c r="J2" s="300"/>
      <c r="K2" s="300"/>
      <c r="L2" s="300"/>
      <c r="M2" s="300"/>
      <c r="N2" s="300"/>
      <c r="O2" s="300"/>
      <c r="P2" s="300"/>
      <c r="Q2" s="300"/>
      <c r="R2" s="300"/>
      <c r="S2" s="300"/>
      <c r="T2" s="300"/>
      <c r="U2" s="300"/>
    </row>
    <row r="3" spans="2:27" ht="16" customHeight="1">
      <c r="E3" s="282" t="s">
        <v>23</v>
      </c>
      <c r="F3" s="282"/>
      <c r="G3" s="282"/>
      <c r="H3" s="282"/>
      <c r="I3" s="282"/>
      <c r="J3" s="282"/>
      <c r="K3" s="282"/>
      <c r="L3" s="282"/>
      <c r="M3" s="282"/>
      <c r="N3" s="282"/>
      <c r="O3" s="282"/>
      <c r="P3" s="282"/>
      <c r="Q3" s="282"/>
    </row>
    <row r="4" spans="2:27" ht="16" customHeight="1">
      <c r="E4" s="282"/>
      <c r="F4" s="282"/>
      <c r="G4" s="282"/>
      <c r="H4" s="282"/>
      <c r="I4" s="282"/>
      <c r="J4" s="282"/>
      <c r="K4" s="282"/>
      <c r="L4" s="282"/>
      <c r="M4" s="282"/>
      <c r="N4" s="282"/>
      <c r="O4" s="282"/>
      <c r="P4" s="282"/>
      <c r="Q4" s="282"/>
    </row>
    <row r="5" spans="2:27" ht="16.5" customHeight="1">
      <c r="D5" s="5" t="s">
        <v>24</v>
      </c>
    </row>
    <row r="6" spans="2:27">
      <c r="D6" s="5" t="s">
        <v>25</v>
      </c>
    </row>
    <row r="7" spans="2:27" ht="21.65" customHeight="1">
      <c r="B7" s="296" t="s">
        <v>26</v>
      </c>
      <c r="C7" s="296"/>
      <c r="D7" s="296"/>
      <c r="E7" s="296"/>
      <c r="F7" s="296"/>
      <c r="G7" s="296"/>
      <c r="H7" s="296"/>
      <c r="I7" s="296"/>
      <c r="J7" s="296"/>
      <c r="K7" s="296"/>
      <c r="L7" s="296"/>
      <c r="M7" s="296"/>
      <c r="N7" s="296"/>
      <c r="O7" s="296"/>
      <c r="P7" s="296"/>
      <c r="Q7" s="296"/>
      <c r="R7" s="296"/>
      <c r="S7" s="296"/>
      <c r="T7" s="296"/>
      <c r="U7" s="296"/>
    </row>
    <row r="8" spans="2:27" s="2" customFormat="1" ht="18.649999999999999" customHeight="1">
      <c r="B8" s="6" t="s">
        <v>27</v>
      </c>
      <c r="C8" s="6"/>
      <c r="D8" s="7"/>
      <c r="E8" s="7"/>
      <c r="F8" s="8" t="s">
        <v>28</v>
      </c>
      <c r="G8" s="301">
        <f>Load!J17</f>
        <v>46218</v>
      </c>
      <c r="H8" s="301"/>
      <c r="I8" s="301"/>
      <c r="J8" s="301"/>
      <c r="K8" s="7"/>
      <c r="L8" s="7"/>
      <c r="M8" s="7"/>
      <c r="N8" s="7"/>
      <c r="O8" s="7"/>
      <c r="P8" s="302" t="s">
        <v>29</v>
      </c>
      <c r="Q8" s="302"/>
      <c r="R8" s="302"/>
      <c r="S8" s="303">
        <v>160</v>
      </c>
      <c r="T8" s="303"/>
      <c r="U8" s="7"/>
      <c r="W8" s="41" t="s">
        <v>30</v>
      </c>
      <c r="X8" s="39" t="s">
        <v>71</v>
      </c>
      <c r="Y8" s="39" t="s">
        <v>68</v>
      </c>
      <c r="Z8" s="39" t="s">
        <v>69</v>
      </c>
      <c r="AA8" s="39" t="s">
        <v>70</v>
      </c>
    </row>
    <row r="9" spans="2:27">
      <c r="B9" s="9" t="s">
        <v>3</v>
      </c>
      <c r="C9" s="9"/>
      <c r="D9" s="10"/>
      <c r="E9" s="10"/>
      <c r="F9" s="11" t="s">
        <v>28</v>
      </c>
      <c r="G9" s="298">
        <f>Load!K19</f>
        <v>0.50232638888888892</v>
      </c>
      <c r="H9" s="298"/>
      <c r="I9" s="298"/>
      <c r="J9" s="298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W9" s="42">
        <f>X9+Z10</f>
        <v>1.0902777777777779E-2</v>
      </c>
      <c r="X9" s="40">
        <v>7.9166666666666673E-3</v>
      </c>
      <c r="Y9" s="5">
        <v>0</v>
      </c>
      <c r="Z9" s="5">
        <v>1</v>
      </c>
      <c r="AA9" s="5">
        <v>26</v>
      </c>
    </row>
    <row r="10" spans="2:27">
      <c r="B10" s="9" t="s">
        <v>31</v>
      </c>
      <c r="C10" s="9"/>
      <c r="D10" s="10"/>
      <c r="E10" s="10"/>
      <c r="F10" s="11" t="s">
        <v>28</v>
      </c>
      <c r="G10" s="298">
        <f>G9+W9</f>
        <v>0.51322916666666674</v>
      </c>
      <c r="H10" s="298"/>
      <c r="I10" s="298"/>
      <c r="J10" s="298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Y10" s="17">
        <f>T12-7</f>
        <v>3</v>
      </c>
      <c r="Z10" s="38">
        <f>AA10*Y10</f>
        <v>2.9861111111111113E-3</v>
      </c>
      <c r="AA10" s="37">
        <f>TIME(Y9,Z9,AA9)</f>
        <v>9.9537037037037042E-4</v>
      </c>
    </row>
    <row r="11" spans="2:27" s="2" customFormat="1" ht="20.149999999999999" customHeight="1">
      <c r="B11" s="7"/>
      <c r="C11" s="6" t="s">
        <v>0</v>
      </c>
      <c r="D11" s="7"/>
      <c r="E11" s="7"/>
      <c r="F11" s="7"/>
      <c r="G11" s="7"/>
      <c r="H11" s="7"/>
      <c r="I11" s="6" t="s">
        <v>28</v>
      </c>
      <c r="J11" s="299">
        <f>Load!AN26</f>
        <v>8338</v>
      </c>
      <c r="K11" s="299"/>
      <c r="L11" s="7"/>
      <c r="M11" s="7"/>
      <c r="N11" s="7"/>
      <c r="O11" s="7"/>
      <c r="P11" s="6" t="s">
        <v>1</v>
      </c>
      <c r="Q11" s="7"/>
      <c r="R11" s="7"/>
      <c r="S11" s="6" t="s">
        <v>28</v>
      </c>
      <c r="T11" s="29">
        <f>Load!BN26</f>
        <v>45</v>
      </c>
      <c r="U11" s="30" t="s">
        <v>32</v>
      </c>
    </row>
    <row r="12" spans="2:27" ht="16" customHeight="1">
      <c r="B12" s="10"/>
      <c r="C12" s="9" t="s">
        <v>5</v>
      </c>
      <c r="D12" s="10"/>
      <c r="E12" s="10"/>
      <c r="F12" s="10"/>
      <c r="G12" s="10"/>
      <c r="H12" s="10"/>
      <c r="I12" s="6" t="s">
        <v>28</v>
      </c>
      <c r="J12" s="10" t="str">
        <f>Load!M26</f>
        <v>JHEERNNODHARA SAMITHI ANANTHAPURAM</v>
      </c>
      <c r="K12" s="10"/>
      <c r="L12" s="10"/>
      <c r="M12" s="10"/>
      <c r="N12" s="10"/>
      <c r="O12" s="10"/>
      <c r="P12" s="9" t="s">
        <v>2</v>
      </c>
      <c r="Q12" s="10"/>
      <c r="R12" s="10"/>
      <c r="S12" s="6" t="s">
        <v>28</v>
      </c>
      <c r="T12" s="29">
        <f>Load!AO29</f>
        <v>10</v>
      </c>
      <c r="U12" s="30" t="s">
        <v>32</v>
      </c>
      <c r="W12" s="43" t="str">
        <f>IF(T12&gt;7.01,(IF(T12&lt;8.01,"OK","WRONG QTY")),"WRONG QTY")</f>
        <v>WRONG QTY</v>
      </c>
    </row>
    <row r="13" spans="2:27" ht="16" customHeight="1">
      <c r="B13" s="10"/>
      <c r="C13" s="9" t="s">
        <v>7</v>
      </c>
      <c r="D13" s="10"/>
      <c r="E13" s="10"/>
      <c r="F13" s="10"/>
      <c r="G13" s="10"/>
      <c r="H13" s="10"/>
      <c r="I13" s="6" t="s">
        <v>28</v>
      </c>
      <c r="J13" s="5" t="str">
        <f>Load!M34</f>
        <v>BOVIKANAM</v>
      </c>
      <c r="P13" s="9" t="s">
        <v>4</v>
      </c>
      <c r="Q13" s="10"/>
      <c r="R13" s="10"/>
      <c r="S13" s="6" t="s">
        <v>28</v>
      </c>
      <c r="T13" s="29">
        <v>0</v>
      </c>
      <c r="U13" s="30" t="s">
        <v>32</v>
      </c>
    </row>
    <row r="14" spans="2:27" ht="16" customHeight="1">
      <c r="B14" s="10"/>
      <c r="C14" s="9" t="s">
        <v>9</v>
      </c>
      <c r="D14" s="10"/>
      <c r="E14" s="10"/>
      <c r="F14" s="10"/>
      <c r="G14" s="10"/>
      <c r="H14" s="10"/>
      <c r="I14" s="6" t="s">
        <v>28</v>
      </c>
      <c r="J14" s="10" t="str">
        <f>Load!M29</f>
        <v>M 40 A</v>
      </c>
      <c r="K14" s="10"/>
      <c r="L14" s="10"/>
      <c r="M14" s="10"/>
      <c r="N14" s="10"/>
      <c r="O14" s="10"/>
      <c r="P14" s="9" t="s">
        <v>6</v>
      </c>
      <c r="Q14" s="10"/>
      <c r="R14" s="10"/>
      <c r="S14" s="6" t="s">
        <v>28</v>
      </c>
      <c r="T14" s="29">
        <f>Load!BE26</f>
        <v>31</v>
      </c>
      <c r="U14" s="30" t="s">
        <v>32</v>
      </c>
    </row>
    <row r="15" spans="2:27" ht="16" customHeight="1">
      <c r="B15" s="10"/>
      <c r="C15" s="9" t="s">
        <v>10</v>
      </c>
      <c r="D15" s="10"/>
      <c r="E15" s="10"/>
      <c r="F15" s="10"/>
      <c r="G15" s="10"/>
      <c r="H15" s="10"/>
      <c r="I15" s="6" t="s">
        <v>28</v>
      </c>
      <c r="J15" s="10">
        <f>Load!M32</f>
        <v>0</v>
      </c>
      <c r="K15" s="10"/>
      <c r="L15" s="10"/>
      <c r="M15" s="10"/>
      <c r="N15" s="10"/>
      <c r="O15" s="10"/>
      <c r="P15" s="9" t="s">
        <v>33</v>
      </c>
      <c r="Q15" s="10"/>
      <c r="R15" s="10"/>
      <c r="S15" s="6" t="s">
        <v>28</v>
      </c>
      <c r="T15" s="29">
        <v>1</v>
      </c>
      <c r="U15" s="30" t="s">
        <v>32</v>
      </c>
    </row>
    <row r="16" spans="2:27" ht="16" customHeight="1">
      <c r="B16" s="10"/>
      <c r="C16" s="9" t="s">
        <v>12</v>
      </c>
      <c r="D16" s="10"/>
      <c r="E16" s="10"/>
      <c r="F16" s="10"/>
      <c r="G16" s="10"/>
      <c r="H16" s="10"/>
      <c r="I16" s="6" t="s">
        <v>28</v>
      </c>
      <c r="J16" s="10" t="str">
        <f>Load!BG29</f>
        <v>KL14 AF 2789</v>
      </c>
      <c r="K16" s="10"/>
      <c r="L16" s="10"/>
      <c r="M16" s="10"/>
      <c r="N16" s="10"/>
      <c r="O16" s="10"/>
      <c r="P16" s="9" t="s">
        <v>34</v>
      </c>
      <c r="Q16" s="10"/>
      <c r="R16" s="10"/>
      <c r="S16" s="6" t="s">
        <v>28</v>
      </c>
      <c r="T16" s="29">
        <f>T12/8</f>
        <v>1.25</v>
      </c>
      <c r="U16" s="30" t="s">
        <v>32</v>
      </c>
    </row>
    <row r="17" spans="2:22" ht="16" customHeight="1">
      <c r="B17" s="10"/>
      <c r="C17" s="9" t="s">
        <v>11</v>
      </c>
      <c r="D17" s="10"/>
      <c r="E17" s="10"/>
      <c r="F17" s="10"/>
      <c r="G17" s="10"/>
      <c r="H17" s="10"/>
      <c r="I17" s="6" t="s">
        <v>28</v>
      </c>
      <c r="J17" s="10">
        <f>Load!AZ32</f>
        <v>0</v>
      </c>
      <c r="K17" s="10"/>
      <c r="L17" s="10"/>
      <c r="M17" s="10"/>
      <c r="N17" s="10"/>
      <c r="O17" s="10"/>
      <c r="P17" s="9" t="s">
        <v>35</v>
      </c>
      <c r="Q17" s="10"/>
      <c r="R17" s="10"/>
      <c r="S17" s="10"/>
      <c r="T17" s="10">
        <v>0</v>
      </c>
      <c r="U17" s="31" t="s">
        <v>36</v>
      </c>
    </row>
    <row r="18" spans="2:22">
      <c r="C18" s="9" t="s">
        <v>8</v>
      </c>
      <c r="D18" s="10"/>
      <c r="E18" s="10"/>
      <c r="F18" s="10"/>
      <c r="G18" s="10"/>
      <c r="H18" s="10"/>
      <c r="I18" s="6" t="s">
        <v>28</v>
      </c>
      <c r="J18" s="10">
        <f>Load!AZ34</f>
        <v>0</v>
      </c>
      <c r="K18" s="10"/>
      <c r="L18" s="10"/>
      <c r="M18" s="10"/>
      <c r="N18" s="10"/>
      <c r="O18" s="10"/>
    </row>
    <row r="19" spans="2:22">
      <c r="C19" s="9" t="s">
        <v>37</v>
      </c>
      <c r="D19" s="10"/>
      <c r="E19" s="10"/>
      <c r="F19" s="10"/>
      <c r="G19" s="10"/>
      <c r="H19" s="10"/>
      <c r="I19" s="6" t="s">
        <v>28</v>
      </c>
      <c r="J19" s="10" t="s">
        <v>25</v>
      </c>
      <c r="K19" s="10"/>
      <c r="L19" s="10"/>
      <c r="M19" s="10"/>
      <c r="N19" s="10"/>
      <c r="O19" s="10"/>
    </row>
    <row r="20" spans="2:22" ht="22" customHeight="1">
      <c r="B20" s="296" t="s">
        <v>38</v>
      </c>
      <c r="C20" s="296"/>
      <c r="D20" s="296"/>
      <c r="E20" s="296"/>
      <c r="F20" s="296"/>
      <c r="G20" s="296"/>
      <c r="H20" s="296"/>
      <c r="I20" s="296"/>
      <c r="J20" s="296"/>
      <c r="K20" s="296" t="s">
        <v>39</v>
      </c>
      <c r="L20" s="296"/>
      <c r="M20" s="296"/>
      <c r="N20" s="296" t="s">
        <v>40</v>
      </c>
      <c r="O20" s="296"/>
      <c r="P20" s="296"/>
      <c r="Q20" s="32" t="s">
        <v>41</v>
      </c>
      <c r="R20" s="296" t="s">
        <v>42</v>
      </c>
      <c r="S20" s="296"/>
      <c r="T20" s="296"/>
      <c r="U20" s="296"/>
    </row>
    <row r="21" spans="2:22" ht="14.5" customHeight="1">
      <c r="B21" s="297" t="str">
        <f>Load!W45</f>
        <v>M SAND</v>
      </c>
      <c r="C21" s="297"/>
      <c r="D21" s="12" t="str">
        <f>Load!AA45</f>
        <v xml:space="preserve">M SAND </v>
      </c>
      <c r="E21" s="293" t="str">
        <f>Load!AE45</f>
        <v>12 MM</v>
      </c>
      <c r="F21" s="293"/>
      <c r="G21" s="293"/>
      <c r="H21" s="14" t="str">
        <f>Load!AG45</f>
        <v>20 MM</v>
      </c>
      <c r="I21" s="293" t="str">
        <f>Load!AJ45</f>
        <v>0</v>
      </c>
      <c r="J21" s="293"/>
      <c r="K21" s="13" t="str">
        <f>Load!AL45</f>
        <v>CEM 1</v>
      </c>
      <c r="L21" s="13" t="str">
        <f>Load!AP45</f>
        <v>CEM 2</v>
      </c>
      <c r="M21" s="13" t="str">
        <f>Load!AR45</f>
        <v>CEM 3</v>
      </c>
      <c r="O21" s="293" t="str">
        <f>Load!BC45</f>
        <v>WATER</v>
      </c>
      <c r="P21" s="293"/>
      <c r="Q21" s="5" t="s">
        <v>43</v>
      </c>
      <c r="R21" s="297" t="str">
        <f>Load!AV45</f>
        <v>ADMIX1</v>
      </c>
      <c r="S21" s="297"/>
      <c r="T21" s="297" t="str">
        <f>Load!AY45</f>
        <v>ADMIX2</v>
      </c>
      <c r="U21" s="297"/>
    </row>
    <row r="22" spans="2:22">
      <c r="B22" s="10" t="s">
        <v>44</v>
      </c>
    </row>
    <row r="23" spans="2:22" s="2" customFormat="1" ht="20.5" customHeight="1">
      <c r="B23" s="294">
        <f>Load!W46</f>
        <v>0</v>
      </c>
      <c r="C23" s="294"/>
      <c r="D23" s="15">
        <f>Load!AA46</f>
        <v>743</v>
      </c>
      <c r="E23" s="295">
        <f>Load!AE46</f>
        <v>435</v>
      </c>
      <c r="F23" s="295"/>
      <c r="G23" s="295"/>
      <c r="H23" s="15">
        <f>Load!AG46</f>
        <v>681</v>
      </c>
      <c r="I23" s="295"/>
      <c r="J23" s="295"/>
      <c r="K23" s="27">
        <f>Load!AL46</f>
        <v>340</v>
      </c>
      <c r="L23" s="27">
        <f>Load!AP46</f>
        <v>0</v>
      </c>
      <c r="M23" s="27">
        <f>Load!AR46</f>
        <v>100</v>
      </c>
      <c r="N23" s="27">
        <v>0</v>
      </c>
      <c r="O23" s="294">
        <f>Load!BC46</f>
        <v>154</v>
      </c>
      <c r="P23" s="294"/>
      <c r="Q23" s="33">
        <v>0</v>
      </c>
      <c r="R23" s="292">
        <f>Load!AV46</f>
        <v>2.6</v>
      </c>
      <c r="S23" s="292"/>
      <c r="T23" s="292">
        <f>Load!AY46</f>
        <v>0</v>
      </c>
      <c r="U23" s="292"/>
    </row>
    <row r="24" spans="2:22" ht="20.149999999999999" customHeight="1">
      <c r="B24" s="5" t="s">
        <v>45</v>
      </c>
    </row>
    <row r="25" spans="2:22">
      <c r="B25" s="280">
        <f>Load!W47</f>
        <v>0</v>
      </c>
      <c r="C25" s="280"/>
      <c r="D25" s="17">
        <f>Load!AA47</f>
        <v>2</v>
      </c>
      <c r="E25" s="280">
        <f>Load!AE47</f>
        <v>1</v>
      </c>
      <c r="F25" s="280"/>
      <c r="G25" s="280"/>
      <c r="H25" s="18">
        <f>Load!AG47</f>
        <v>1</v>
      </c>
      <c r="I25" s="280">
        <v>0</v>
      </c>
      <c r="J25" s="280"/>
      <c r="K25" s="14"/>
      <c r="L25" s="14"/>
      <c r="M25" s="14"/>
      <c r="N25" s="14"/>
      <c r="O25" s="293">
        <v>0</v>
      </c>
      <c r="P25" s="293"/>
      <c r="Q25" s="14"/>
      <c r="R25" s="14"/>
      <c r="S25" s="14"/>
      <c r="T25" s="14"/>
      <c r="U25" s="14"/>
    </row>
    <row r="26" spans="2:22">
      <c r="B26" s="280">
        <f>Load!W48</f>
        <v>0</v>
      </c>
      <c r="C26" s="280"/>
      <c r="D26" s="19">
        <f>Load!AA48</f>
        <v>4.5</v>
      </c>
      <c r="E26" s="280">
        <f>Load!AE48</f>
        <v>0</v>
      </c>
      <c r="F26" s="280"/>
      <c r="G26" s="280"/>
      <c r="H26" s="16">
        <f>Load!AG48</f>
        <v>0</v>
      </c>
      <c r="I26" s="280">
        <v>0</v>
      </c>
      <c r="J26" s="280"/>
      <c r="K26" s="14"/>
      <c r="L26" s="14"/>
      <c r="M26" s="14"/>
      <c r="N26" s="13" t="s">
        <v>46</v>
      </c>
      <c r="O26" s="279">
        <v>0</v>
      </c>
      <c r="P26" s="279"/>
      <c r="Q26" s="14"/>
      <c r="R26" s="14"/>
      <c r="S26" s="14"/>
      <c r="T26" s="14"/>
      <c r="U26" s="14"/>
    </row>
    <row r="27" spans="2:22">
      <c r="B27" s="286">
        <f>(((B26-B25)*(B23*T16))/100)+(((B26-B25)*(((B26-B25)*(B23*T16))/100))/100)+(B23*T16)</f>
        <v>0</v>
      </c>
      <c r="C27" s="286">
        <f t="shared" ref="C27" si="0">(((C26-C25)*C23)/100)+(((C26-C25)*(((C26-C25)*C23)/100))/100)+C23</f>
        <v>0</v>
      </c>
      <c r="D27" s="20">
        <f>(((D26-D25)*(D23*T16))/100)+(((D26-D25)*(((D26-D25)*(D23*T16))/100))/100)+(D23*T16)</f>
        <v>952.54921875000002</v>
      </c>
      <c r="E27" s="286">
        <f>(((E26-E25)*(E23*T16))/100)+(((E26-E25)*(((E26-E25)*(T16*E23))/100))/100)+(T16*E23)</f>
        <v>538.36687500000005</v>
      </c>
      <c r="F27" s="286">
        <f t="shared" ref="F27:G27" si="1">(((F26-F25)*F23)/100)+(((F26-F25)*(((F26-F25)*F23)/100))/100)+F23</f>
        <v>0</v>
      </c>
      <c r="G27" s="286">
        <f t="shared" si="1"/>
        <v>0</v>
      </c>
      <c r="H27" s="21">
        <f>(((H26-H25)*(T16*H23))/100)+(((H26-H25)*(((H26-H25)*(T16*H23))/100))/100)+(T16*H23)</f>
        <v>842.82262500000002</v>
      </c>
      <c r="I27" s="286">
        <f>(((I26-I25)*(T16*I23))/100)+(((I26-I25)*(((I26-I25)*(T16*I23))/100))/100)+(T16*I23)</f>
        <v>0</v>
      </c>
      <c r="J27" s="286">
        <f t="shared" ref="J27" si="2">(((J26-J25)*J23)/100)+(((J26-J25)*(((J26-J25)*J23)/100))/100)+J23</f>
        <v>0</v>
      </c>
      <c r="K27" s="21">
        <f>K23*T16</f>
        <v>425</v>
      </c>
      <c r="L27" s="21">
        <f>L23*T16</f>
        <v>0</v>
      </c>
      <c r="M27" s="21">
        <f>M23*T16</f>
        <v>125</v>
      </c>
      <c r="N27" s="25">
        <v>0</v>
      </c>
      <c r="O27" s="291">
        <f>(T16*O23)-(((B27*B26/100)-(B27*B25/100))+((D27*D26/100)-(D27*D25/100))+((E27*E26/100)-(E27*E25/100))+((H27*H26/100)-(H27*H25/100)))</f>
        <v>182.49816453125001</v>
      </c>
      <c r="P27" s="291"/>
      <c r="Q27" s="34">
        <v>0</v>
      </c>
      <c r="R27" s="280">
        <f>R23*T16</f>
        <v>3.25</v>
      </c>
      <c r="S27" s="280"/>
      <c r="T27" s="289">
        <f>T23*T16</f>
        <v>0</v>
      </c>
      <c r="U27" s="289"/>
    </row>
    <row r="28" spans="2:22">
      <c r="B28" s="286">
        <f ca="1">$B$27+($B$27*1*(0.5-RAND()))/100</f>
        <v>0</v>
      </c>
      <c r="C28" s="286"/>
      <c r="D28" s="21">
        <f ca="1">$D$27+($D$27*1*(0.5-RAND()))/100</f>
        <v>954.86155696136495</v>
      </c>
      <c r="E28" s="286">
        <f ca="1">$E$27+($E$27*1*(0.5-RAND()))/100</f>
        <v>538.23482524814631</v>
      </c>
      <c r="F28" s="286"/>
      <c r="G28" s="286"/>
      <c r="H28" s="21">
        <f ca="1">$H$27+($H$27*1*(0.5-RAND()))/100</f>
        <v>839.84293684858505</v>
      </c>
      <c r="I28" s="286">
        <f ca="1">$I$27+($I$27*1*(0.5-RAND()))/100</f>
        <v>0</v>
      </c>
      <c r="J28" s="286"/>
      <c r="K28" s="21">
        <f ca="1">$K$27+($K$27*2*(0.5-RAND()))/100</f>
        <v>426.0826695054227</v>
      </c>
      <c r="L28" s="21">
        <f ca="1">$L$27+($L$27*2*(0.5-RAND()))/100</f>
        <v>0</v>
      </c>
      <c r="M28" s="21">
        <f ca="1">$M$27+($M$27*2*(0.5-RAND()))/100</f>
        <v>126.02007590135395</v>
      </c>
      <c r="N28" s="25">
        <f ca="1">N27+(N27*1*(0.5-RAND()))/100</f>
        <v>0</v>
      </c>
      <c r="O28" s="286">
        <f ca="1">$O$27+($O$27*2*(0.5-RAND()))/100</f>
        <v>183.07619149821033</v>
      </c>
      <c r="P28" s="286"/>
      <c r="Q28" s="34">
        <v>0</v>
      </c>
      <c r="R28" s="280">
        <f ca="1">$R$27+($R$27*2*(0.5-RAND()))/100</f>
        <v>3.2617091762064101</v>
      </c>
      <c r="S28" s="280"/>
      <c r="T28" s="290">
        <v>0</v>
      </c>
      <c r="U28" s="290"/>
    </row>
    <row r="29" spans="2:22">
      <c r="B29" s="280">
        <f>$B$25</f>
        <v>0</v>
      </c>
      <c r="C29" s="280"/>
      <c r="D29" s="17">
        <f>$D$25</f>
        <v>2</v>
      </c>
      <c r="E29" s="280">
        <f>$E$25</f>
        <v>1</v>
      </c>
      <c r="F29" s="280"/>
      <c r="G29" s="280"/>
      <c r="H29" s="18">
        <f>$H$25</f>
        <v>1</v>
      </c>
      <c r="I29" s="280">
        <v>0</v>
      </c>
      <c r="J29" s="280"/>
      <c r="K29" s="14"/>
      <c r="L29" s="14"/>
      <c r="M29" s="14"/>
      <c r="N29" s="14"/>
      <c r="O29" s="293">
        <v>0</v>
      </c>
      <c r="P29" s="293"/>
      <c r="Q29" s="14"/>
      <c r="R29" s="14"/>
      <c r="S29" s="14"/>
      <c r="T29" s="14"/>
      <c r="U29" s="14"/>
    </row>
    <row r="30" spans="2:22">
      <c r="B30" s="280">
        <f>$B$26</f>
        <v>0</v>
      </c>
      <c r="C30" s="280"/>
      <c r="D30" s="19">
        <f>$D$26</f>
        <v>4.5</v>
      </c>
      <c r="E30" s="280">
        <f>$E$26</f>
        <v>0</v>
      </c>
      <c r="F30" s="280"/>
      <c r="G30" s="280"/>
      <c r="H30" s="16">
        <f>$H$26</f>
        <v>0</v>
      </c>
      <c r="I30" s="280">
        <v>0</v>
      </c>
      <c r="J30" s="280"/>
      <c r="K30" s="14"/>
      <c r="L30" s="14"/>
      <c r="M30" s="14"/>
      <c r="N30" s="13" t="s">
        <v>46</v>
      </c>
      <c r="O30" s="279">
        <v>0</v>
      </c>
      <c r="P30" s="279"/>
      <c r="Q30" s="14"/>
      <c r="R30" s="14"/>
      <c r="S30" s="14"/>
      <c r="T30" s="14"/>
      <c r="U30" s="14"/>
    </row>
    <row r="31" spans="2:22" s="3" customFormat="1">
      <c r="B31" s="286">
        <f>ROUND($B$27,0)</f>
        <v>0</v>
      </c>
      <c r="C31" s="286"/>
      <c r="D31" s="21">
        <f>ROUND(($D$27),0)</f>
        <v>953</v>
      </c>
      <c r="E31" s="286">
        <f>ROUND($E$27,0)</f>
        <v>538</v>
      </c>
      <c r="F31" s="286">
        <f t="shared" ref="F31:U31" si="3">F$27</f>
        <v>0</v>
      </c>
      <c r="G31" s="286">
        <f t="shared" si="3"/>
        <v>0</v>
      </c>
      <c r="H31" s="21">
        <f>ROUND($H$27,0)</f>
        <v>843</v>
      </c>
      <c r="I31" s="286">
        <f>$I$27</f>
        <v>0</v>
      </c>
      <c r="J31" s="286">
        <f t="shared" si="3"/>
        <v>0</v>
      </c>
      <c r="K31" s="21">
        <f>$K$27</f>
        <v>425</v>
      </c>
      <c r="L31" s="21">
        <f>$L$27</f>
        <v>0</v>
      </c>
      <c r="M31" s="21">
        <f>$M$27</f>
        <v>125</v>
      </c>
      <c r="N31" s="25">
        <f>$N$27</f>
        <v>0</v>
      </c>
      <c r="O31" s="286">
        <f>$O$27</f>
        <v>182.49816453125001</v>
      </c>
      <c r="P31" s="286">
        <f t="shared" si="3"/>
        <v>0</v>
      </c>
      <c r="Q31" s="34">
        <f>$Q$27</f>
        <v>0</v>
      </c>
      <c r="R31" s="280">
        <f>$R$27</f>
        <v>3.25</v>
      </c>
      <c r="S31" s="280">
        <f t="shared" si="3"/>
        <v>0</v>
      </c>
      <c r="T31" s="289">
        <f>$T$27</f>
        <v>0</v>
      </c>
      <c r="U31" s="289">
        <f t="shared" si="3"/>
        <v>0</v>
      </c>
      <c r="V31" s="5"/>
    </row>
    <row r="32" spans="2:22" s="3" customFormat="1">
      <c r="B32" s="286">
        <f ca="1">$B$27+($B$27*1*(0.5-RAND()))/100</f>
        <v>0</v>
      </c>
      <c r="C32" s="286"/>
      <c r="D32" s="21">
        <f ca="1">$D$27+($D$27*1*(0.5-RAND()))/100</f>
        <v>948.31853431365175</v>
      </c>
      <c r="E32" s="286">
        <f ca="1">$E$27+($E$27*1*(0.5-RAND()))/100</f>
        <v>537.08266600548097</v>
      </c>
      <c r="F32" s="286"/>
      <c r="G32" s="286"/>
      <c r="H32" s="21">
        <f ca="1">$H$27+($H$27*1*(0.5-RAND()))/100</f>
        <v>842.24460971738449</v>
      </c>
      <c r="I32" s="286">
        <f ca="1">$I$27+($I$27*1*(0.5-RAND()))/100</f>
        <v>0</v>
      </c>
      <c r="J32" s="286"/>
      <c r="K32" s="21">
        <f ca="1">$K$27+($K$27*2*(0.5-RAND()))/100</f>
        <v>427.63252404464924</v>
      </c>
      <c r="L32" s="21">
        <f ca="1">$L$27+($L$27*2*(0.5-RAND()))/100</f>
        <v>0</v>
      </c>
      <c r="M32" s="21">
        <f ca="1">$M$27+($M$27*2*(0.5-RAND()))/100</f>
        <v>123.78097689229476</v>
      </c>
      <c r="N32" s="25">
        <v>0</v>
      </c>
      <c r="O32" s="286">
        <f ca="1">$O$27+($O$27*2*(0.5-RAND()))/100</f>
        <v>184.01527678557821</v>
      </c>
      <c r="P32" s="286"/>
      <c r="Q32" s="16">
        <v>0</v>
      </c>
      <c r="R32" s="280">
        <f ca="1">$R$27+($R$27*2*(0.5-RAND()))/100</f>
        <v>3.2351193899576831</v>
      </c>
      <c r="S32" s="280"/>
      <c r="T32" s="290">
        <v>0</v>
      </c>
      <c r="U32" s="290"/>
      <c r="V32" s="5"/>
    </row>
    <row r="33" spans="2:22" s="3" customFormat="1">
      <c r="B33" s="280">
        <f>$B$25</f>
        <v>0</v>
      </c>
      <c r="C33" s="280"/>
      <c r="D33" s="17">
        <f>$D$25</f>
        <v>2</v>
      </c>
      <c r="E33" s="280">
        <f>$E$25</f>
        <v>1</v>
      </c>
      <c r="F33" s="280"/>
      <c r="G33" s="280"/>
      <c r="H33" s="18">
        <f>$H$25</f>
        <v>1</v>
      </c>
      <c r="I33" s="280">
        <v>0</v>
      </c>
      <c r="J33" s="280"/>
      <c r="K33" s="14"/>
      <c r="L33" s="14"/>
      <c r="M33" s="14"/>
      <c r="N33" s="14"/>
      <c r="O33" s="293">
        <v>0</v>
      </c>
      <c r="P33" s="293"/>
      <c r="Q33" s="14"/>
      <c r="R33" s="14"/>
      <c r="S33" s="14"/>
      <c r="T33" s="14"/>
      <c r="U33" s="14"/>
      <c r="V33" s="5"/>
    </row>
    <row r="34" spans="2:22" s="3" customFormat="1">
      <c r="B34" s="280">
        <f>$B$26</f>
        <v>0</v>
      </c>
      <c r="C34" s="280"/>
      <c r="D34" s="19">
        <f>$D$26</f>
        <v>4.5</v>
      </c>
      <c r="E34" s="280">
        <f>$E$26</f>
        <v>0</v>
      </c>
      <c r="F34" s="280"/>
      <c r="G34" s="280"/>
      <c r="H34" s="16">
        <f>$H$26</f>
        <v>0</v>
      </c>
      <c r="I34" s="280">
        <v>0</v>
      </c>
      <c r="J34" s="280"/>
      <c r="K34" s="14"/>
      <c r="L34" s="14"/>
      <c r="M34" s="14"/>
      <c r="N34" s="13" t="s">
        <v>46</v>
      </c>
      <c r="O34" s="279">
        <v>0</v>
      </c>
      <c r="P34" s="279"/>
      <c r="Q34" s="14"/>
      <c r="R34" s="14"/>
      <c r="S34" s="14"/>
      <c r="T34" s="14"/>
      <c r="U34" s="14"/>
      <c r="V34" s="5"/>
    </row>
    <row r="35" spans="2:22" s="3" customFormat="1">
      <c r="B35" s="286">
        <f>ROUND($B$27,0)</f>
        <v>0</v>
      </c>
      <c r="C35" s="286"/>
      <c r="D35" s="21">
        <f>ROUND(($D$27),0)</f>
        <v>953</v>
      </c>
      <c r="E35" s="286">
        <f>ROUND($E$27,0)</f>
        <v>538</v>
      </c>
      <c r="F35" s="286">
        <f t="shared" ref="F35:G35" si="4">F$27</f>
        <v>0</v>
      </c>
      <c r="G35" s="286">
        <f t="shared" si="4"/>
        <v>0</v>
      </c>
      <c r="H35" s="21">
        <f>ROUND($H$27,0)</f>
        <v>843</v>
      </c>
      <c r="I35" s="286">
        <f>$I$27</f>
        <v>0</v>
      </c>
      <c r="J35" s="286">
        <f t="shared" ref="J35" si="5">J$27</f>
        <v>0</v>
      </c>
      <c r="K35" s="21">
        <f>$K$27</f>
        <v>425</v>
      </c>
      <c r="L35" s="21">
        <f>$L$27</f>
        <v>0</v>
      </c>
      <c r="M35" s="21">
        <f>$M$27</f>
        <v>125</v>
      </c>
      <c r="N35" s="25">
        <f>$N$27</f>
        <v>0</v>
      </c>
      <c r="O35" s="286">
        <f>$O$27</f>
        <v>182.49816453125001</v>
      </c>
      <c r="P35" s="286">
        <f t="shared" ref="P35" si="6">P$27</f>
        <v>0</v>
      </c>
      <c r="Q35" s="16">
        <f>$Q$27</f>
        <v>0</v>
      </c>
      <c r="R35" s="280">
        <f>$R$27</f>
        <v>3.25</v>
      </c>
      <c r="S35" s="280">
        <f t="shared" ref="S35" si="7">S$27</f>
        <v>0</v>
      </c>
      <c r="T35" s="289">
        <f>$T$27</f>
        <v>0</v>
      </c>
      <c r="U35" s="289">
        <f t="shared" ref="U35" si="8">U$27</f>
        <v>0</v>
      </c>
      <c r="V35" s="5"/>
    </row>
    <row r="36" spans="2:22" s="3" customFormat="1">
      <c r="B36" s="286">
        <f ca="1">$B$27+($B$27*1*(0.5-RAND()))/100</f>
        <v>0</v>
      </c>
      <c r="C36" s="286"/>
      <c r="D36" s="21">
        <f ca="1">$D$27+($D$27*1*(0.5-RAND()))/100</f>
        <v>953.42590014493328</v>
      </c>
      <c r="E36" s="286">
        <f ca="1">$E$27+($E$27*1*(0.5-RAND()))/100</f>
        <v>537.51658172152497</v>
      </c>
      <c r="F36" s="286"/>
      <c r="G36" s="286"/>
      <c r="H36" s="21">
        <f ca="1">$H$27+($H$27*1*(0.5-RAND()))/100</f>
        <v>843.45259763717513</v>
      </c>
      <c r="I36" s="286">
        <f ca="1">$I$27+($I$27*1*(0.5-RAND()))/100</f>
        <v>0</v>
      </c>
      <c r="J36" s="286"/>
      <c r="K36" s="21">
        <f ca="1">$K$27+($K$27*2*(0.5-RAND()))/100</f>
        <v>425.34516414299355</v>
      </c>
      <c r="L36" s="21">
        <f ca="1">$L$27+($L$27*2*(0.5-RAND()))/100</f>
        <v>0</v>
      </c>
      <c r="M36" s="21">
        <f ca="1">$M$27+($M$27*2*(0.5-RAND()))/100</f>
        <v>125.08998286337903</v>
      </c>
      <c r="N36" s="25">
        <v>0</v>
      </c>
      <c r="O36" s="286">
        <f ca="1">$O$27+($O$27*2*(0.5-RAND()))/100</f>
        <v>183.99370010095407</v>
      </c>
      <c r="P36" s="286"/>
      <c r="Q36" s="16">
        <v>0</v>
      </c>
      <c r="R36" s="280">
        <f ca="1">$R$27+($R$27*2*(0.5-RAND()))/100</f>
        <v>3.2686560488876575</v>
      </c>
      <c r="S36" s="280"/>
      <c r="T36" s="290">
        <v>0</v>
      </c>
      <c r="U36" s="290"/>
      <c r="V36" s="5"/>
    </row>
    <row r="37" spans="2:22" s="3" customFormat="1">
      <c r="B37" s="280">
        <f>$B$25</f>
        <v>0</v>
      </c>
      <c r="C37" s="280"/>
      <c r="D37" s="17">
        <f>$D$25</f>
        <v>2</v>
      </c>
      <c r="E37" s="280">
        <f>$E$25</f>
        <v>1</v>
      </c>
      <c r="F37" s="280"/>
      <c r="G37" s="280"/>
      <c r="H37" s="18">
        <f>$H$25</f>
        <v>1</v>
      </c>
      <c r="I37" s="280">
        <v>0</v>
      </c>
      <c r="J37" s="280"/>
      <c r="K37" s="14"/>
      <c r="L37" s="14"/>
      <c r="M37" s="14"/>
      <c r="N37" s="14"/>
      <c r="O37" s="293">
        <v>0</v>
      </c>
      <c r="P37" s="293"/>
      <c r="Q37" s="14"/>
      <c r="R37" s="14"/>
      <c r="S37" s="14"/>
      <c r="T37" s="14"/>
      <c r="U37" s="14"/>
      <c r="V37" s="5"/>
    </row>
    <row r="38" spans="2:22" s="3" customFormat="1">
      <c r="B38" s="280">
        <f>$B$26</f>
        <v>0</v>
      </c>
      <c r="C38" s="280"/>
      <c r="D38" s="19">
        <f>$D$26</f>
        <v>4.5</v>
      </c>
      <c r="E38" s="280">
        <f>$E$26</f>
        <v>0</v>
      </c>
      <c r="F38" s="280"/>
      <c r="G38" s="280"/>
      <c r="H38" s="16">
        <f>$H$26</f>
        <v>0</v>
      </c>
      <c r="I38" s="280">
        <v>0</v>
      </c>
      <c r="J38" s="280"/>
      <c r="K38" s="14"/>
      <c r="L38" s="14"/>
      <c r="M38" s="14"/>
      <c r="N38" s="13" t="s">
        <v>46</v>
      </c>
      <c r="O38" s="279">
        <v>0</v>
      </c>
      <c r="P38" s="279"/>
      <c r="Q38" s="14"/>
      <c r="R38" s="14"/>
      <c r="S38" s="14"/>
      <c r="T38" s="14"/>
      <c r="U38" s="14"/>
      <c r="V38" s="5"/>
    </row>
    <row r="39" spans="2:22" s="3" customFormat="1">
      <c r="B39" s="286">
        <f>ROUND($B$27,0)</f>
        <v>0</v>
      </c>
      <c r="C39" s="286"/>
      <c r="D39" s="21">
        <f>ROUND(($D$27),0)</f>
        <v>953</v>
      </c>
      <c r="E39" s="286">
        <f>ROUND($E$27,0)</f>
        <v>538</v>
      </c>
      <c r="F39" s="286">
        <f t="shared" ref="F39:G39" si="9">F$27</f>
        <v>0</v>
      </c>
      <c r="G39" s="286">
        <f t="shared" si="9"/>
        <v>0</v>
      </c>
      <c r="H39" s="21">
        <f>ROUND($H$27,0)</f>
        <v>843</v>
      </c>
      <c r="I39" s="286">
        <f>$I$27</f>
        <v>0</v>
      </c>
      <c r="J39" s="286">
        <f t="shared" ref="J39" si="10">J$27</f>
        <v>0</v>
      </c>
      <c r="K39" s="21">
        <f>$K$27</f>
        <v>425</v>
      </c>
      <c r="L39" s="21">
        <f>$L$27</f>
        <v>0</v>
      </c>
      <c r="M39" s="21">
        <f>$M$27</f>
        <v>125</v>
      </c>
      <c r="N39" s="25">
        <f>$N$27</f>
        <v>0</v>
      </c>
      <c r="O39" s="286">
        <f>$O$27</f>
        <v>182.49816453125001</v>
      </c>
      <c r="P39" s="286">
        <f t="shared" ref="P39" si="11">P$27</f>
        <v>0</v>
      </c>
      <c r="Q39" s="16">
        <f>$Q$27</f>
        <v>0</v>
      </c>
      <c r="R39" s="280">
        <f>$R$27</f>
        <v>3.25</v>
      </c>
      <c r="S39" s="280">
        <f t="shared" ref="S39" si="12">S$27</f>
        <v>0</v>
      </c>
      <c r="T39" s="289">
        <f>$T$27</f>
        <v>0</v>
      </c>
      <c r="U39" s="289">
        <f t="shared" ref="U39" si="13">U$27</f>
        <v>0</v>
      </c>
      <c r="V39" s="5"/>
    </row>
    <row r="40" spans="2:22" s="3" customFormat="1">
      <c r="B40" s="286">
        <f ca="1">$B$27+($B$27*1*(0.5-RAND()))/100</f>
        <v>0</v>
      </c>
      <c r="C40" s="286"/>
      <c r="D40" s="21">
        <f ca="1">$D$27+($D$27*1*(0.5-RAND()))/100</f>
        <v>948.62579609519389</v>
      </c>
      <c r="E40" s="286">
        <f ca="1">$E$27+($E$27*1*(0.5-RAND()))/100</f>
        <v>540.78880595797375</v>
      </c>
      <c r="F40" s="286"/>
      <c r="G40" s="286"/>
      <c r="H40" s="21">
        <f ca="1">$H$27+($H$27*1*(0.5-RAND()))/100</f>
        <v>839.79561068077498</v>
      </c>
      <c r="I40" s="286">
        <f ca="1">$I$27+($I$27*1*(0.5-RAND()))/100</f>
        <v>0</v>
      </c>
      <c r="J40" s="286"/>
      <c r="K40" s="21">
        <f ca="1">$K$27+($K$27*2*(0.5-RAND()))/100</f>
        <v>427.56159574806895</v>
      </c>
      <c r="L40" s="21">
        <f ca="1">$L$27+($L$27*2*(0.5-RAND()))/100</f>
        <v>0</v>
      </c>
      <c r="M40" s="21">
        <f ca="1">$M$27+($M$27*2*(0.5-RAND()))/100</f>
        <v>125.69771847758729</v>
      </c>
      <c r="N40" s="25">
        <v>0</v>
      </c>
      <c r="O40" s="286">
        <f ca="1">$O$27+($O$27*2*(0.5-RAND()))/100</f>
        <v>182.68419093778363</v>
      </c>
      <c r="P40" s="286"/>
      <c r="Q40" s="16">
        <v>0</v>
      </c>
      <c r="R40" s="280">
        <f ca="1">$R$27+($R$27*2*(0.5-RAND()))/100</f>
        <v>3.2313300524882518</v>
      </c>
      <c r="S40" s="280"/>
      <c r="T40" s="290">
        <v>0</v>
      </c>
      <c r="U40" s="290"/>
      <c r="V40" s="5"/>
    </row>
    <row r="41" spans="2:22" s="3" customFormat="1">
      <c r="B41" s="280">
        <f>$B$25</f>
        <v>0</v>
      </c>
      <c r="C41" s="280"/>
      <c r="D41" s="17">
        <f>$D$25</f>
        <v>2</v>
      </c>
      <c r="E41" s="280">
        <f>$E$25</f>
        <v>1</v>
      </c>
      <c r="F41" s="280"/>
      <c r="G41" s="280"/>
      <c r="H41" s="18">
        <f>$H$25</f>
        <v>1</v>
      </c>
      <c r="I41" s="280">
        <v>0</v>
      </c>
      <c r="J41" s="280"/>
      <c r="K41" s="14"/>
      <c r="L41" s="14"/>
      <c r="M41" s="14"/>
      <c r="N41" s="14"/>
      <c r="O41" s="293">
        <v>0</v>
      </c>
      <c r="P41" s="293"/>
      <c r="Q41" s="14"/>
      <c r="R41" s="14"/>
      <c r="S41" s="14"/>
      <c r="T41" s="14"/>
      <c r="U41" s="14"/>
      <c r="V41" s="5"/>
    </row>
    <row r="42" spans="2:22" s="3" customFormat="1">
      <c r="B42" s="280">
        <f>$B$26</f>
        <v>0</v>
      </c>
      <c r="C42" s="280"/>
      <c r="D42" s="19">
        <f>$D$26</f>
        <v>4.5</v>
      </c>
      <c r="E42" s="280">
        <f>$E$26</f>
        <v>0</v>
      </c>
      <c r="F42" s="280"/>
      <c r="G42" s="280"/>
      <c r="H42" s="16">
        <f>$H$26</f>
        <v>0</v>
      </c>
      <c r="I42" s="280">
        <v>0</v>
      </c>
      <c r="J42" s="280"/>
      <c r="K42" s="14"/>
      <c r="L42" s="14"/>
      <c r="M42" s="14"/>
      <c r="N42" s="13" t="s">
        <v>46</v>
      </c>
      <c r="O42" s="279">
        <v>0</v>
      </c>
      <c r="P42" s="279"/>
      <c r="Q42" s="14"/>
      <c r="R42" s="14"/>
      <c r="S42" s="14"/>
      <c r="T42" s="14"/>
      <c r="U42" s="14"/>
      <c r="V42" s="5"/>
    </row>
    <row r="43" spans="2:22" s="3" customFormat="1">
      <c r="B43" s="286">
        <f>ROUND($B$27,0)</f>
        <v>0</v>
      </c>
      <c r="C43" s="286"/>
      <c r="D43" s="21">
        <f>ROUND(($D$27),0)</f>
        <v>953</v>
      </c>
      <c r="E43" s="286">
        <f>ROUND($E$27,0)</f>
        <v>538</v>
      </c>
      <c r="F43" s="286">
        <f t="shared" ref="F43:G43" si="14">F$27</f>
        <v>0</v>
      </c>
      <c r="G43" s="286">
        <f t="shared" si="14"/>
        <v>0</v>
      </c>
      <c r="H43" s="21">
        <f>ROUND($H$27,0)</f>
        <v>843</v>
      </c>
      <c r="I43" s="286">
        <f>$I$27</f>
        <v>0</v>
      </c>
      <c r="J43" s="286">
        <f t="shared" ref="J43" si="15">J$27</f>
        <v>0</v>
      </c>
      <c r="K43" s="21">
        <f>$K$27</f>
        <v>425</v>
      </c>
      <c r="L43" s="21">
        <f>$L$27</f>
        <v>0</v>
      </c>
      <c r="M43" s="21">
        <f>$M$27</f>
        <v>125</v>
      </c>
      <c r="N43" s="25">
        <f>$N$27</f>
        <v>0</v>
      </c>
      <c r="O43" s="286">
        <f>$O$27</f>
        <v>182.49816453125001</v>
      </c>
      <c r="P43" s="286">
        <f t="shared" ref="P43" si="16">P$27</f>
        <v>0</v>
      </c>
      <c r="Q43" s="16">
        <f>$Q$27</f>
        <v>0</v>
      </c>
      <c r="R43" s="280">
        <f>$R$27</f>
        <v>3.25</v>
      </c>
      <c r="S43" s="280">
        <f t="shared" ref="S43" si="17">S$27</f>
        <v>0</v>
      </c>
      <c r="T43" s="289">
        <f>$T$27</f>
        <v>0</v>
      </c>
      <c r="U43" s="289">
        <f t="shared" ref="U43" si="18">U$27</f>
        <v>0</v>
      </c>
      <c r="V43" s="5"/>
    </row>
    <row r="44" spans="2:22" s="3" customFormat="1">
      <c r="B44" s="286">
        <f ca="1">$B$27+($B$27*1*(0.5-RAND()))/100</f>
        <v>0</v>
      </c>
      <c r="C44" s="286"/>
      <c r="D44" s="21">
        <f ca="1">$D$27+($D$27*1*(0.5-RAND()))/100</f>
        <v>954.16898513861952</v>
      </c>
      <c r="E44" s="286">
        <f ca="1">$E$27+($E$27*1*(0.5-RAND()))/100</f>
        <v>540.97110082279153</v>
      </c>
      <c r="F44" s="286"/>
      <c r="G44" s="286"/>
      <c r="H44" s="21">
        <f ca="1">$H$27+($H$27*1*(0.5-RAND()))/100</f>
        <v>839.36852170814234</v>
      </c>
      <c r="I44" s="286">
        <f ca="1">$I$27+($I$27*1*(0.5-RAND()))/100</f>
        <v>0</v>
      </c>
      <c r="J44" s="286"/>
      <c r="K44" s="21">
        <f ca="1">$K$27+($K$27*2*(0.5-RAND()))/100</f>
        <v>423.71167593648391</v>
      </c>
      <c r="L44" s="21">
        <f ca="1">$L$27+($L$27*2*(0.5-RAND()))/100</f>
        <v>0</v>
      </c>
      <c r="M44" s="21">
        <f ca="1">$M$27+($M$27*2*(0.5-RAND()))/100</f>
        <v>125.43618714259925</v>
      </c>
      <c r="N44" s="25">
        <v>0</v>
      </c>
      <c r="O44" s="286">
        <f ca="1">$O$27+($O$27*2*(0.5-RAND()))/100</f>
        <v>183.26146842025918</v>
      </c>
      <c r="P44" s="286"/>
      <c r="Q44" s="16">
        <v>0</v>
      </c>
      <c r="R44" s="280">
        <f ca="1">$R$27+($R$27*2*(0.5-RAND()))/100</f>
        <v>3.2186937105690947</v>
      </c>
      <c r="S44" s="280"/>
      <c r="T44" s="290">
        <v>0</v>
      </c>
      <c r="U44" s="290"/>
      <c r="V44" s="5"/>
    </row>
    <row r="45" spans="2:22" s="3" customFormat="1">
      <c r="B45" s="280">
        <f>$B$25</f>
        <v>0</v>
      </c>
      <c r="C45" s="280"/>
      <c r="D45" s="17">
        <f>$D$25</f>
        <v>2</v>
      </c>
      <c r="E45" s="280">
        <f>$E$25</f>
        <v>1</v>
      </c>
      <c r="F45" s="280"/>
      <c r="G45" s="280"/>
      <c r="H45" s="18">
        <f>$H$25</f>
        <v>1</v>
      </c>
      <c r="I45" s="280">
        <v>0</v>
      </c>
      <c r="J45" s="280"/>
      <c r="K45" s="14"/>
      <c r="L45" s="14"/>
      <c r="M45" s="14"/>
      <c r="N45" s="14"/>
      <c r="O45" s="293">
        <v>0</v>
      </c>
      <c r="P45" s="293"/>
      <c r="Q45" s="14"/>
      <c r="R45" s="14"/>
      <c r="S45" s="14"/>
      <c r="T45" s="14"/>
      <c r="U45" s="14"/>
      <c r="V45" s="5"/>
    </row>
    <row r="46" spans="2:22" s="3" customFormat="1">
      <c r="B46" s="280">
        <f>$B$26</f>
        <v>0</v>
      </c>
      <c r="C46" s="280"/>
      <c r="D46" s="19">
        <f>$D$26</f>
        <v>4.5</v>
      </c>
      <c r="E46" s="280">
        <f>$E$26</f>
        <v>0</v>
      </c>
      <c r="F46" s="280"/>
      <c r="G46" s="280"/>
      <c r="H46" s="16">
        <f>$H$26</f>
        <v>0</v>
      </c>
      <c r="I46" s="280">
        <v>0</v>
      </c>
      <c r="J46" s="280"/>
      <c r="K46" s="14"/>
      <c r="L46" s="14"/>
      <c r="M46" s="14"/>
      <c r="N46" s="13" t="s">
        <v>46</v>
      </c>
      <c r="O46" s="279">
        <v>0</v>
      </c>
      <c r="P46" s="279"/>
      <c r="Q46" s="14"/>
      <c r="R46" s="14"/>
      <c r="S46" s="14"/>
      <c r="T46" s="14"/>
      <c r="U46" s="14"/>
      <c r="V46" s="5"/>
    </row>
    <row r="47" spans="2:22" s="3" customFormat="1">
      <c r="B47" s="286">
        <f>ROUND($B$27,0)</f>
        <v>0</v>
      </c>
      <c r="C47" s="286"/>
      <c r="D47" s="21">
        <f>ROUND(($D$27),0)</f>
        <v>953</v>
      </c>
      <c r="E47" s="286">
        <f>ROUND($E$27,0)</f>
        <v>538</v>
      </c>
      <c r="F47" s="286">
        <f t="shared" ref="F47:G47" si="19">F$27</f>
        <v>0</v>
      </c>
      <c r="G47" s="286">
        <f t="shared" si="19"/>
        <v>0</v>
      </c>
      <c r="H47" s="21">
        <f>ROUND($H$27,0)</f>
        <v>843</v>
      </c>
      <c r="I47" s="286">
        <f>$I$27</f>
        <v>0</v>
      </c>
      <c r="J47" s="286">
        <f t="shared" ref="J47" si="20">J$27</f>
        <v>0</v>
      </c>
      <c r="K47" s="21">
        <f>$K$27</f>
        <v>425</v>
      </c>
      <c r="L47" s="21">
        <f>$L$27</f>
        <v>0</v>
      </c>
      <c r="M47" s="21">
        <f>$M$27</f>
        <v>125</v>
      </c>
      <c r="N47" s="25">
        <f>$N$27</f>
        <v>0</v>
      </c>
      <c r="O47" s="286">
        <f>$O$27</f>
        <v>182.49816453125001</v>
      </c>
      <c r="P47" s="286">
        <f t="shared" ref="P47" si="21">P$27</f>
        <v>0</v>
      </c>
      <c r="Q47" s="16">
        <f>$Q$27</f>
        <v>0</v>
      </c>
      <c r="R47" s="280">
        <f>$R$27</f>
        <v>3.25</v>
      </c>
      <c r="S47" s="280">
        <f t="shared" ref="S47" si="22">S$27</f>
        <v>0</v>
      </c>
      <c r="T47" s="289">
        <f>$T$27</f>
        <v>0</v>
      </c>
      <c r="U47" s="289">
        <f t="shared" ref="U47" si="23">U$27</f>
        <v>0</v>
      </c>
      <c r="V47" s="5"/>
    </row>
    <row r="48" spans="2:22" s="3" customFormat="1">
      <c r="B48" s="286">
        <f ca="1">$B$27+($B$27*1*(0.5-RAND()))/100</f>
        <v>0</v>
      </c>
      <c r="C48" s="286"/>
      <c r="D48" s="21">
        <f ca="1">$D$27+($D$27*1*(0.5-RAND()))/100</f>
        <v>951.48718072783777</v>
      </c>
      <c r="E48" s="286">
        <f ca="1">$E$27+($E$27*1*(0.5-RAND()))/100</f>
        <v>540.74250612084484</v>
      </c>
      <c r="F48" s="286"/>
      <c r="G48" s="286"/>
      <c r="H48" s="21">
        <f ca="1">$H$27+($H$27*1*(0.5-RAND()))/100</f>
        <v>844.98923641374336</v>
      </c>
      <c r="I48" s="286">
        <f ca="1">$I$27+($I$27*1*(0.5-RAND()))/100</f>
        <v>0</v>
      </c>
      <c r="J48" s="286"/>
      <c r="K48" s="21">
        <f ca="1">$K$27+($K$27*2*(0.5-RAND()))/100</f>
        <v>426.20100868193526</v>
      </c>
      <c r="L48" s="21">
        <f ca="1">$L$27+($L$27*2*(0.5-RAND()))/100</f>
        <v>0</v>
      </c>
      <c r="M48" s="21">
        <f ca="1">$M$27+($M$27*2*(0.5-RAND()))/100</f>
        <v>125.21694893551899</v>
      </c>
      <c r="N48" s="25">
        <v>0</v>
      </c>
      <c r="O48" s="286">
        <f ca="1">$O$27+($O$27*2*(0.5-RAND()))/100</f>
        <v>181.43203737825056</v>
      </c>
      <c r="P48" s="286"/>
      <c r="Q48" s="16">
        <v>0</v>
      </c>
      <c r="R48" s="280">
        <f ca="1">$R$27+($R$27*2*(0.5-RAND()))/100</f>
        <v>3.2823327861725251</v>
      </c>
      <c r="S48" s="280"/>
      <c r="T48" s="290">
        <v>0</v>
      </c>
      <c r="U48" s="290"/>
      <c r="V48" s="5"/>
    </row>
    <row r="49" spans="2:22" s="3" customFormat="1">
      <c r="B49" s="280">
        <f>$B$25</f>
        <v>0</v>
      </c>
      <c r="C49" s="280"/>
      <c r="D49" s="17">
        <f>$D$25</f>
        <v>2</v>
      </c>
      <c r="E49" s="280">
        <f>$E$25</f>
        <v>1</v>
      </c>
      <c r="F49" s="280"/>
      <c r="G49" s="280"/>
      <c r="H49" s="18">
        <f>$H$25</f>
        <v>1</v>
      </c>
      <c r="I49" s="280">
        <v>0</v>
      </c>
      <c r="J49" s="280"/>
      <c r="K49" s="14"/>
      <c r="L49" s="14"/>
      <c r="M49" s="14"/>
      <c r="N49" s="14"/>
      <c r="O49" s="293">
        <v>0</v>
      </c>
      <c r="P49" s="293"/>
      <c r="Q49" s="14"/>
      <c r="R49" s="14"/>
      <c r="S49" s="14"/>
      <c r="T49" s="14"/>
      <c r="U49" s="14"/>
      <c r="V49" s="5"/>
    </row>
    <row r="50" spans="2:22" s="3" customFormat="1">
      <c r="B50" s="280">
        <f>$B$26</f>
        <v>0</v>
      </c>
      <c r="C50" s="280"/>
      <c r="D50" s="19">
        <f>$D$26</f>
        <v>4.5</v>
      </c>
      <c r="E50" s="280">
        <f>$E$26</f>
        <v>0</v>
      </c>
      <c r="F50" s="280"/>
      <c r="G50" s="280"/>
      <c r="H50" s="16">
        <f>$H$26</f>
        <v>0</v>
      </c>
      <c r="I50" s="280">
        <v>0</v>
      </c>
      <c r="J50" s="280"/>
      <c r="K50" s="14"/>
      <c r="L50" s="14"/>
      <c r="M50" s="14"/>
      <c r="N50" s="13" t="s">
        <v>46</v>
      </c>
      <c r="O50" s="279">
        <v>0</v>
      </c>
      <c r="P50" s="279"/>
      <c r="Q50" s="14"/>
      <c r="R50" s="14"/>
      <c r="S50" s="14"/>
      <c r="T50" s="14"/>
      <c r="U50" s="14"/>
      <c r="V50" s="5"/>
    </row>
    <row r="51" spans="2:22" s="3" customFormat="1">
      <c r="B51" s="286">
        <f>ROUND($B$27,0)</f>
        <v>0</v>
      </c>
      <c r="C51" s="286"/>
      <c r="D51" s="21">
        <f>ROUND(($D$27),0)</f>
        <v>953</v>
      </c>
      <c r="E51" s="286">
        <f>ROUND($E$27,0)</f>
        <v>538</v>
      </c>
      <c r="F51" s="286">
        <f t="shared" ref="F51:G51" si="24">F$27</f>
        <v>0</v>
      </c>
      <c r="G51" s="286">
        <f t="shared" si="24"/>
        <v>0</v>
      </c>
      <c r="H51" s="21">
        <f>ROUND($H$27,0)</f>
        <v>843</v>
      </c>
      <c r="I51" s="286">
        <f>$I$27</f>
        <v>0</v>
      </c>
      <c r="J51" s="286">
        <f t="shared" ref="J51" si="25">J$27</f>
        <v>0</v>
      </c>
      <c r="K51" s="21">
        <f>$K$27</f>
        <v>425</v>
      </c>
      <c r="L51" s="21">
        <f>$L$27</f>
        <v>0</v>
      </c>
      <c r="M51" s="21">
        <f>$M$27</f>
        <v>125</v>
      </c>
      <c r="N51" s="25">
        <f>$N$27</f>
        <v>0</v>
      </c>
      <c r="O51" s="286">
        <f>$O$27</f>
        <v>182.49816453125001</v>
      </c>
      <c r="P51" s="286">
        <f t="shared" ref="P51" si="26">P$27</f>
        <v>0</v>
      </c>
      <c r="Q51" s="16">
        <f>$Q$27</f>
        <v>0</v>
      </c>
      <c r="R51" s="280">
        <f>$R$27</f>
        <v>3.25</v>
      </c>
      <c r="S51" s="280">
        <f t="shared" ref="S51" si="27">S$27</f>
        <v>0</v>
      </c>
      <c r="T51" s="289">
        <f>$T$27</f>
        <v>0</v>
      </c>
      <c r="U51" s="289">
        <f t="shared" ref="U51" si="28">U$27</f>
        <v>0</v>
      </c>
      <c r="V51" s="5"/>
    </row>
    <row r="52" spans="2:22" s="3" customFormat="1">
      <c r="B52" s="286">
        <f ca="1">$B$27+($B$27*1*(0.5-RAND()))/100</f>
        <v>0</v>
      </c>
      <c r="C52" s="286"/>
      <c r="D52" s="21">
        <f ca="1">$D$27+($D$27*1*(0.5-RAND()))/100</f>
        <v>947.86266973743545</v>
      </c>
      <c r="E52" s="286">
        <f ca="1">$E$27+($E$27*1*(0.5-RAND()))/100</f>
        <v>540.11142520609246</v>
      </c>
      <c r="F52" s="286"/>
      <c r="G52" s="286"/>
      <c r="H52" s="21">
        <f ca="1">$H$27+($H$27*1*(0.5-RAND()))/100</f>
        <v>841.72428199908018</v>
      </c>
      <c r="I52" s="286">
        <f ca="1">$I$27+($I$27*1*(0.5-RAND()))/100</f>
        <v>0</v>
      </c>
      <c r="J52" s="286"/>
      <c r="K52" s="21">
        <f ca="1">$K$27+($K$27*2*(0.5-RAND()))/100</f>
        <v>427.76439497724476</v>
      </c>
      <c r="L52" s="21">
        <f ca="1">$L$27+($L$27*2*(0.5-RAND()))/100</f>
        <v>0</v>
      </c>
      <c r="M52" s="21">
        <f ca="1">$M$27+($M$27*2*(0.5-RAND()))/100</f>
        <v>125.80051948407477</v>
      </c>
      <c r="N52" s="25">
        <v>0</v>
      </c>
      <c r="O52" s="286">
        <f ca="1">$O$27+($O$27*2*(0.5-RAND()))/100</f>
        <v>180.72918897667236</v>
      </c>
      <c r="P52" s="286"/>
      <c r="Q52" s="16">
        <v>0</v>
      </c>
      <c r="R52" s="280">
        <f ca="1">$R$27+($R$27*2*(0.5-RAND()))/100</f>
        <v>3.267602411017176</v>
      </c>
      <c r="S52" s="280"/>
      <c r="T52" s="290">
        <v>0</v>
      </c>
      <c r="U52" s="290"/>
      <c r="V52" s="5"/>
    </row>
    <row r="53" spans="2:22" s="3" customFormat="1">
      <c r="B53" s="280">
        <f>$B$25</f>
        <v>0</v>
      </c>
      <c r="C53" s="280"/>
      <c r="D53" s="17">
        <f>$D$25</f>
        <v>2</v>
      </c>
      <c r="E53" s="280">
        <f>$E$25</f>
        <v>1</v>
      </c>
      <c r="F53" s="280"/>
      <c r="G53" s="280"/>
      <c r="H53" s="18">
        <f>$H$25</f>
        <v>1</v>
      </c>
      <c r="I53" s="280">
        <v>0</v>
      </c>
      <c r="J53" s="280"/>
      <c r="K53" s="14"/>
      <c r="L53" s="14"/>
      <c r="M53" s="14"/>
      <c r="N53" s="14"/>
      <c r="O53" s="293">
        <v>0</v>
      </c>
      <c r="P53" s="293"/>
      <c r="Q53" s="14"/>
      <c r="R53" s="14"/>
      <c r="S53" s="14"/>
      <c r="T53" s="14"/>
      <c r="U53" s="14"/>
      <c r="V53" s="5"/>
    </row>
    <row r="54" spans="2:22" s="3" customFormat="1">
      <c r="B54" s="280">
        <f>$B$26</f>
        <v>0</v>
      </c>
      <c r="C54" s="280"/>
      <c r="D54" s="19">
        <f>$D$26</f>
        <v>4.5</v>
      </c>
      <c r="E54" s="280">
        <f>$E$26</f>
        <v>0</v>
      </c>
      <c r="F54" s="280"/>
      <c r="G54" s="280"/>
      <c r="H54" s="16">
        <f>$H$26</f>
        <v>0</v>
      </c>
      <c r="I54" s="280">
        <v>0</v>
      </c>
      <c r="J54" s="280"/>
      <c r="K54" s="14"/>
      <c r="L54" s="14"/>
      <c r="M54" s="14"/>
      <c r="N54" s="13" t="s">
        <v>46</v>
      </c>
      <c r="O54" s="279">
        <v>0</v>
      </c>
      <c r="P54" s="279"/>
      <c r="Q54" s="14"/>
      <c r="R54" s="14"/>
      <c r="S54" s="14"/>
      <c r="T54" s="14"/>
      <c r="U54" s="14"/>
      <c r="V54" s="5"/>
    </row>
    <row r="55" spans="2:22" s="3" customFormat="1">
      <c r="B55" s="286">
        <f>ROUND($B$27,0)</f>
        <v>0</v>
      </c>
      <c r="C55" s="286"/>
      <c r="D55" s="21">
        <f>ROUND(($D$27),0)</f>
        <v>953</v>
      </c>
      <c r="E55" s="286">
        <f>ROUND($E$27,0)</f>
        <v>538</v>
      </c>
      <c r="F55" s="286">
        <f t="shared" ref="F55:G55" si="29">F$27</f>
        <v>0</v>
      </c>
      <c r="G55" s="286">
        <f t="shared" si="29"/>
        <v>0</v>
      </c>
      <c r="H55" s="21">
        <f>ROUND($H$27,0)</f>
        <v>843</v>
      </c>
      <c r="I55" s="286">
        <f>$I$27</f>
        <v>0</v>
      </c>
      <c r="J55" s="286">
        <f t="shared" ref="J55" si="30">J$27</f>
        <v>0</v>
      </c>
      <c r="K55" s="21">
        <f>$K$27</f>
        <v>425</v>
      </c>
      <c r="L55" s="21">
        <f>$L$27</f>
        <v>0</v>
      </c>
      <c r="M55" s="21">
        <f>$M$27</f>
        <v>125</v>
      </c>
      <c r="N55" s="25">
        <f>$N$27</f>
        <v>0</v>
      </c>
      <c r="O55" s="286">
        <f>$O$27</f>
        <v>182.49816453125001</v>
      </c>
      <c r="P55" s="286">
        <f t="shared" ref="P55" si="31">P$27</f>
        <v>0</v>
      </c>
      <c r="Q55" s="16">
        <f>$Q$27</f>
        <v>0</v>
      </c>
      <c r="R55" s="280">
        <f>$R$27</f>
        <v>3.25</v>
      </c>
      <c r="S55" s="280">
        <f t="shared" ref="S55" si="32">S$27</f>
        <v>0</v>
      </c>
      <c r="T55" s="289">
        <f>$T$27</f>
        <v>0</v>
      </c>
      <c r="U55" s="289">
        <f t="shared" ref="U55" si="33">U$27</f>
        <v>0</v>
      </c>
      <c r="V55" s="5"/>
    </row>
    <row r="56" spans="2:22" s="3" customFormat="1">
      <c r="B56" s="286">
        <f ca="1">$B$27+($B$27*1*(0.5-RAND()))/100</f>
        <v>0</v>
      </c>
      <c r="C56" s="286"/>
      <c r="D56" s="21">
        <f ca="1">$D$27+($D$27*1*(0.5-RAND()))/100</f>
        <v>949.51745727121738</v>
      </c>
      <c r="E56" s="286">
        <f ca="1">$E$27+($E$27*1*(0.5-RAND()))/100</f>
        <v>537.21934719079707</v>
      </c>
      <c r="F56" s="286"/>
      <c r="G56" s="286"/>
      <c r="H56" s="21">
        <f ca="1">$H$27+($H$27*1*(0.5-RAND()))/100</f>
        <v>845.20876325205563</v>
      </c>
      <c r="I56" s="286">
        <f ca="1">$I$27+($I$27*1*(0.5-RAND()))/100</f>
        <v>0</v>
      </c>
      <c r="J56" s="286"/>
      <c r="K56" s="21">
        <f ca="1">$K$27+($K$27*2*(0.5-RAND()))/100</f>
        <v>428.91882644335374</v>
      </c>
      <c r="L56" s="21">
        <f ca="1">$L$27+($L$27*2*(0.5-RAND()))/100</f>
        <v>0</v>
      </c>
      <c r="M56" s="21">
        <f ca="1">$M$27+($M$27*2*(0.5-RAND()))/100</f>
        <v>123.86401085031956</v>
      </c>
      <c r="N56" s="25">
        <v>0</v>
      </c>
      <c r="O56" s="286">
        <f ca="1">$O$27+($O$27*2*(0.5-RAND()))/100</f>
        <v>183.07094712323922</v>
      </c>
      <c r="P56" s="286"/>
      <c r="Q56" s="16">
        <v>0</v>
      </c>
      <c r="R56" s="280">
        <f ca="1">$R$27+($R$27*2*(0.5-RAND()))/100</f>
        <v>3.2819527176341139</v>
      </c>
      <c r="S56" s="280"/>
      <c r="T56" s="290">
        <v>0</v>
      </c>
      <c r="U56" s="290"/>
      <c r="V56" s="5"/>
    </row>
    <row r="57" spans="2:22" s="4" customFormat="1" ht="18" customHeight="1">
      <c r="B57" s="22" t="s">
        <v>47</v>
      </c>
      <c r="C57" s="22"/>
      <c r="D57" s="23"/>
      <c r="E57" s="24"/>
      <c r="F57" s="24"/>
      <c r="G57" s="24"/>
      <c r="H57" s="23"/>
      <c r="I57" s="24"/>
      <c r="J57" s="24"/>
      <c r="K57" s="23"/>
      <c r="L57" s="23"/>
      <c r="M57" s="23"/>
      <c r="N57" s="28" t="s">
        <v>48</v>
      </c>
      <c r="O57" s="288">
        <v>0</v>
      </c>
      <c r="P57" s="288"/>
      <c r="Q57" s="23"/>
      <c r="R57" s="23"/>
      <c r="S57" s="23"/>
      <c r="T57" s="23"/>
      <c r="U57" s="23"/>
    </row>
    <row r="58" spans="2:22" s="3" customFormat="1" ht="17.5" customHeight="1">
      <c r="B58" s="285">
        <f>B55+B51+B47+B43+B39+B35+B31+B27</f>
        <v>0</v>
      </c>
      <c r="C58" s="285"/>
      <c r="D58" s="21">
        <f>ROUND((D55+D51+D47+D43+D39+D35+D31+D27),0)</f>
        <v>7624</v>
      </c>
      <c r="E58" s="286">
        <f>E55+E51+E47+E43+E39+E35+E31+E27</f>
        <v>4304.3668749999997</v>
      </c>
      <c r="F58" s="286"/>
      <c r="G58" s="286"/>
      <c r="H58" s="21">
        <f>H55+H51+H47+H43+H39+H35+H31+H27</f>
        <v>6743.8226249999998</v>
      </c>
      <c r="I58" s="286">
        <f>I55+I51+I47+I43+I39+I35+I31+I27</f>
        <v>0</v>
      </c>
      <c r="J58" s="286"/>
      <c r="K58" s="21">
        <f>K55+K51+K47+K43+K39+K35+K31+K27</f>
        <v>3400</v>
      </c>
      <c r="L58" s="21">
        <f>L55+L51+L47+L43+L39+L35+L31+L27</f>
        <v>0</v>
      </c>
      <c r="M58" s="21">
        <f>M55+M51+M47+M43+M39+M35+M31+M27</f>
        <v>1000</v>
      </c>
      <c r="N58" s="21">
        <v>0</v>
      </c>
      <c r="O58" s="287">
        <f>O55+O51+O47+O43+O39+O35+O31+O27</f>
        <v>1459.9853162500001</v>
      </c>
      <c r="P58" s="287"/>
      <c r="Q58" s="35">
        <f>Q55+Q51+Q47+Q43+Q39+Q35+Q31+Q27</f>
        <v>0</v>
      </c>
      <c r="R58" s="284">
        <f>R55+R51+R47+R43+R39+R35+R31+R27</f>
        <v>26</v>
      </c>
      <c r="S58" s="284"/>
      <c r="T58" s="284">
        <f>T55+T51+T47+T43+T39+T35+T31+T27</f>
        <v>0</v>
      </c>
      <c r="U58" s="284"/>
    </row>
    <row r="59" spans="2:22" s="3" customFormat="1" ht="22" customHeight="1">
      <c r="B59" s="2" t="s">
        <v>49</v>
      </c>
      <c r="C59" s="5"/>
      <c r="D59" s="14"/>
      <c r="E59" s="17"/>
      <c r="F59" s="17"/>
      <c r="G59" s="17"/>
      <c r="H59" s="14"/>
      <c r="I59" s="17"/>
      <c r="J59" s="17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</row>
    <row r="60" spans="2:22" s="3" customFormat="1" ht="17.5" customHeight="1">
      <c r="B60" s="285">
        <f ca="1">B56+B52+B48+B44+B40+B36+B32+B28</f>
        <v>0</v>
      </c>
      <c r="C60" s="285"/>
      <c r="D60" s="21">
        <f ca="1">D56+D52+D48+D44+D40+D36+D32+D28</f>
        <v>7608.2680803902549</v>
      </c>
      <c r="E60" s="286">
        <f ca="1">E56+E52+E48+E44+E40+E36+E32+E28</f>
        <v>4312.6672582736519</v>
      </c>
      <c r="F60" s="286"/>
      <c r="G60" s="286"/>
      <c r="H60" s="21">
        <f ca="1">H56+H52+H48+H44+H40+H36+H32+H28</f>
        <v>6736.6265582569404</v>
      </c>
      <c r="I60" s="286">
        <f ca="1">I56+I52+I48+I44+I40+I36+I32+I28</f>
        <v>0</v>
      </c>
      <c r="J60" s="286"/>
      <c r="K60" s="21">
        <f ca="1">K56+K52+K48+K44+K40+K36+K32+K28</f>
        <v>3413.2178594801526</v>
      </c>
      <c r="L60" s="21">
        <f ca="1">L56+L52+L48+L44+L40+L36+L32+L28</f>
        <v>0</v>
      </c>
      <c r="M60" s="21">
        <f ca="1">M56+M52+M48+M44+M40+M36+M32+M28</f>
        <v>1000.9064205471277</v>
      </c>
      <c r="N60" s="21">
        <f ca="1">N56+N52+N48+N44+N40+N36+N32+N28</f>
        <v>0</v>
      </c>
      <c r="O60" s="287">
        <f ca="1">O56+O52+O48+O44+O40+O36+O32+O28</f>
        <v>1462.2630012209477</v>
      </c>
      <c r="P60" s="287"/>
      <c r="Q60" s="35">
        <f>Q56+Q52+Q48+Q44+Q40+Q36+Q32+Q28</f>
        <v>0</v>
      </c>
      <c r="R60" s="284">
        <f ca="1">R56+R52+R48+R44+R40+R36+R32+R28</f>
        <v>26.047396292932909</v>
      </c>
      <c r="S60" s="284"/>
      <c r="T60" s="284">
        <f t="shared" ref="T60:U60" si="34">T56+T52+T48+T44+T40+T36+T32+T28</f>
        <v>0</v>
      </c>
      <c r="U60" s="284">
        <f t="shared" si="34"/>
        <v>0</v>
      </c>
    </row>
    <row r="61" spans="2:22" s="3" customFormat="1" ht="2.5" customHeight="1">
      <c r="B61" s="283"/>
      <c r="C61" s="283"/>
      <c r="D61" s="283"/>
      <c r="E61" s="283"/>
      <c r="F61" s="283"/>
      <c r="G61" s="283"/>
      <c r="H61" s="283"/>
      <c r="I61" s="283"/>
      <c r="J61" s="283"/>
      <c r="K61" s="283"/>
      <c r="L61" s="283"/>
      <c r="M61" s="283"/>
      <c r="N61" s="283"/>
      <c r="O61" s="283"/>
      <c r="P61" s="283"/>
      <c r="Q61" s="283"/>
      <c r="R61" s="283"/>
      <c r="S61" s="283"/>
      <c r="T61" s="283"/>
      <c r="U61" s="283"/>
    </row>
    <row r="62" spans="2:22" s="3" customFormat="1" ht="9.65" customHeight="1">
      <c r="B62" s="5"/>
      <c r="C62" s="5"/>
      <c r="D62" s="26"/>
      <c r="E62" s="17"/>
      <c r="F62" s="17"/>
      <c r="G62" s="17"/>
      <c r="H62" s="26"/>
      <c r="I62" s="17"/>
      <c r="J62" s="17"/>
      <c r="K62" s="26"/>
      <c r="L62" s="26"/>
      <c r="M62" s="26"/>
      <c r="N62" s="26"/>
      <c r="O62" s="26"/>
      <c r="P62" s="26"/>
      <c r="Q62" s="36"/>
      <c r="S62" s="26"/>
      <c r="T62" s="26"/>
      <c r="U62" s="26"/>
    </row>
    <row r="63" spans="2:22" s="3" customFormat="1">
      <c r="B63" s="5"/>
      <c r="C63" s="5"/>
      <c r="D63" s="26"/>
      <c r="E63" s="17"/>
      <c r="F63" s="17"/>
      <c r="G63" s="17"/>
      <c r="H63" s="26"/>
      <c r="I63" s="17"/>
      <c r="J63" s="17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</row>
    <row r="64" spans="2:22" s="3" customFormat="1">
      <c r="B64" s="5"/>
      <c r="C64" s="5"/>
      <c r="D64" s="26"/>
      <c r="E64" s="17"/>
      <c r="F64" s="17"/>
      <c r="G64" s="17"/>
      <c r="H64" s="26"/>
      <c r="I64" s="17"/>
      <c r="J64" s="17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</row>
    <row r="65" spans="2:21" s="3" customFormat="1">
      <c r="B65" s="5"/>
      <c r="C65" s="5"/>
      <c r="D65" s="26"/>
      <c r="E65" s="17"/>
      <c r="F65" s="17"/>
      <c r="G65" s="17"/>
      <c r="H65" s="26"/>
      <c r="I65" s="17"/>
      <c r="J65" s="17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</row>
    <row r="66" spans="2:21" s="3" customFormat="1">
      <c r="B66" s="5"/>
      <c r="C66" s="5"/>
      <c r="D66" s="26"/>
      <c r="E66" s="17"/>
      <c r="F66" s="17"/>
      <c r="G66" s="17"/>
      <c r="H66" s="26"/>
      <c r="I66" s="17"/>
      <c r="J66" s="17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</row>
    <row r="67" spans="2:21" s="3" customFormat="1">
      <c r="B67" s="279"/>
      <c r="C67" s="279"/>
      <c r="D67" s="26"/>
      <c r="E67" s="280"/>
      <c r="F67" s="280"/>
      <c r="G67" s="280"/>
      <c r="H67" s="26"/>
      <c r="I67" s="280"/>
      <c r="J67" s="280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</row>
    <row r="68" spans="2:21" s="3" customFormat="1">
      <c r="B68" s="279"/>
      <c r="C68" s="279"/>
      <c r="D68" s="26"/>
      <c r="E68" s="280"/>
      <c r="F68" s="280"/>
      <c r="G68" s="280"/>
      <c r="H68" s="26"/>
      <c r="I68" s="280"/>
      <c r="J68" s="280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</row>
    <row r="69" spans="2:21" s="3" customFormat="1">
      <c r="B69" s="279"/>
      <c r="C69" s="279"/>
      <c r="D69" s="26"/>
      <c r="E69" s="26"/>
      <c r="F69" s="26"/>
      <c r="G69" s="26"/>
      <c r="H69" s="26"/>
      <c r="I69" s="280"/>
      <c r="J69" s="280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</row>
    <row r="70" spans="2:21" s="3" customFormat="1">
      <c r="B70" s="279"/>
      <c r="C70" s="279"/>
      <c r="D70" s="26"/>
      <c r="E70" s="26"/>
      <c r="F70" s="26"/>
      <c r="G70" s="26"/>
      <c r="H70" s="26"/>
      <c r="I70" s="280"/>
      <c r="J70" s="280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</row>
    <row r="71" spans="2:21" s="3" customFormat="1">
      <c r="B71" s="279"/>
      <c r="C71" s="279"/>
      <c r="D71" s="26"/>
      <c r="E71" s="26"/>
      <c r="F71" s="26"/>
      <c r="G71" s="26"/>
      <c r="H71" s="26"/>
      <c r="I71" s="280"/>
      <c r="J71" s="280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</row>
    <row r="72" spans="2:21" s="3" customFormat="1">
      <c r="B72" s="279"/>
      <c r="C72" s="279"/>
      <c r="D72" s="26"/>
      <c r="E72" s="26"/>
      <c r="F72" s="26"/>
      <c r="G72" s="26"/>
      <c r="H72" s="26"/>
      <c r="I72" s="280"/>
      <c r="J72" s="280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</row>
    <row r="73" spans="2:21" s="3" customFormat="1">
      <c r="B73" s="26"/>
      <c r="C73" s="26"/>
      <c r="D73" s="26"/>
      <c r="E73" s="26"/>
      <c r="F73" s="26"/>
      <c r="G73" s="26"/>
      <c r="H73" s="26"/>
      <c r="I73" s="281"/>
      <c r="J73" s="281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</row>
    <row r="74" spans="2:21"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</row>
    <row r="75" spans="2:21"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</row>
    <row r="76" spans="2:21"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</row>
    <row r="77" spans="2:21"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</row>
    <row r="78" spans="2:21"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</row>
    <row r="79" spans="2:21"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</row>
    <row r="80" spans="2:21"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</row>
    <row r="81" spans="2:21"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</row>
    <row r="82" spans="2:21"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</row>
    <row r="83" spans="2:21"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</row>
    <row r="84" spans="2:21"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</row>
  </sheetData>
  <sheetProtection algorithmName="SHA-512" hashValue="yGuFu8/EjlEeU2ltLu9ezYb8jUA+QUStv7dq0o+4QFCNbddFBKMCu7KmrxSH37qgP3zl+DiwWokMZqFnbrJ9kg==" saltValue="XgCzYc1Iscc3D18LAYuj2w==" spinCount="100000" sheet="1" objects="1" scenarios="1" selectLockedCells="1"/>
  <mergeCells count="214">
    <mergeCell ref="B2:U2"/>
    <mergeCell ref="B7:U7"/>
    <mergeCell ref="G8:J8"/>
    <mergeCell ref="P8:R8"/>
    <mergeCell ref="S8:T8"/>
    <mergeCell ref="G9:J9"/>
    <mergeCell ref="G10:J10"/>
    <mergeCell ref="B20:J20"/>
    <mergeCell ref="K20:M20"/>
    <mergeCell ref="N20:P20"/>
    <mergeCell ref="R20:U20"/>
    <mergeCell ref="J11:K11"/>
    <mergeCell ref="B21:C21"/>
    <mergeCell ref="E21:G21"/>
    <mergeCell ref="I21:J21"/>
    <mergeCell ref="O21:P21"/>
    <mergeCell ref="R21:S21"/>
    <mergeCell ref="T21:U21"/>
    <mergeCell ref="B23:C23"/>
    <mergeCell ref="E23:G23"/>
    <mergeCell ref="I23:J23"/>
    <mergeCell ref="O23:P23"/>
    <mergeCell ref="R23:S23"/>
    <mergeCell ref="T23:U23"/>
    <mergeCell ref="B25:C25"/>
    <mergeCell ref="E25:G25"/>
    <mergeCell ref="I25:J25"/>
    <mergeCell ref="O25:P25"/>
    <mergeCell ref="B26:C26"/>
    <mergeCell ref="E26:G26"/>
    <mergeCell ref="I26:J26"/>
    <mergeCell ref="O26:P26"/>
    <mergeCell ref="B27:C27"/>
    <mergeCell ref="E27:G27"/>
    <mergeCell ref="I27:J27"/>
    <mergeCell ref="O27:P27"/>
    <mergeCell ref="R27:S27"/>
    <mergeCell ref="T27:U27"/>
    <mergeCell ref="B28:C28"/>
    <mergeCell ref="E28:G28"/>
    <mergeCell ref="I28:J28"/>
    <mergeCell ref="O28:P28"/>
    <mergeCell ref="R28:S28"/>
    <mergeCell ref="T28:U28"/>
    <mergeCell ref="B29:C29"/>
    <mergeCell ref="E29:G29"/>
    <mergeCell ref="I29:J29"/>
    <mergeCell ref="O29:P29"/>
    <mergeCell ref="B30:C30"/>
    <mergeCell ref="E30:G30"/>
    <mergeCell ref="I30:J30"/>
    <mergeCell ref="O30:P30"/>
    <mergeCell ref="B31:C31"/>
    <mergeCell ref="E31:G31"/>
    <mergeCell ref="I31:J31"/>
    <mergeCell ref="O31:P31"/>
    <mergeCell ref="R31:S31"/>
    <mergeCell ref="T31:U31"/>
    <mergeCell ref="B32:C32"/>
    <mergeCell ref="E32:G32"/>
    <mergeCell ref="I32:J32"/>
    <mergeCell ref="O32:P32"/>
    <mergeCell ref="R32:S32"/>
    <mergeCell ref="T32:U32"/>
    <mergeCell ref="B33:C33"/>
    <mergeCell ref="E33:G33"/>
    <mergeCell ref="I33:J33"/>
    <mergeCell ref="O33:P33"/>
    <mergeCell ref="B34:C34"/>
    <mergeCell ref="E34:G34"/>
    <mergeCell ref="I34:J34"/>
    <mergeCell ref="O34:P34"/>
    <mergeCell ref="B35:C35"/>
    <mergeCell ref="E35:G35"/>
    <mergeCell ref="I35:J35"/>
    <mergeCell ref="O35:P35"/>
    <mergeCell ref="R35:S35"/>
    <mergeCell ref="T35:U35"/>
    <mergeCell ref="B36:C36"/>
    <mergeCell ref="E36:G36"/>
    <mergeCell ref="I36:J36"/>
    <mergeCell ref="O36:P36"/>
    <mergeCell ref="R36:S36"/>
    <mergeCell ref="T36:U36"/>
    <mergeCell ref="B37:C37"/>
    <mergeCell ref="E37:G37"/>
    <mergeCell ref="I37:J37"/>
    <mergeCell ref="O37:P37"/>
    <mergeCell ref="B38:C38"/>
    <mergeCell ref="E38:G38"/>
    <mergeCell ref="I38:J38"/>
    <mergeCell ref="O38:P38"/>
    <mergeCell ref="B39:C39"/>
    <mergeCell ref="E39:G39"/>
    <mergeCell ref="I39:J39"/>
    <mergeCell ref="O39:P39"/>
    <mergeCell ref="R39:S39"/>
    <mergeCell ref="T39:U39"/>
    <mergeCell ref="B40:C40"/>
    <mergeCell ref="E40:G40"/>
    <mergeCell ref="I40:J40"/>
    <mergeCell ref="O40:P40"/>
    <mergeCell ref="R40:S40"/>
    <mergeCell ref="T40:U40"/>
    <mergeCell ref="B41:C41"/>
    <mergeCell ref="E41:G41"/>
    <mergeCell ref="I41:J41"/>
    <mergeCell ref="O41:P41"/>
    <mergeCell ref="B42:C42"/>
    <mergeCell ref="E42:G42"/>
    <mergeCell ref="I42:J42"/>
    <mergeCell ref="O42:P42"/>
    <mergeCell ref="B43:C43"/>
    <mergeCell ref="E43:G43"/>
    <mergeCell ref="I43:J43"/>
    <mergeCell ref="O43:P43"/>
    <mergeCell ref="R43:S43"/>
    <mergeCell ref="T43:U43"/>
    <mergeCell ref="B44:C44"/>
    <mergeCell ref="E44:G44"/>
    <mergeCell ref="I44:J44"/>
    <mergeCell ref="O44:P44"/>
    <mergeCell ref="R44:S44"/>
    <mergeCell ref="T44:U44"/>
    <mergeCell ref="B45:C45"/>
    <mergeCell ref="E45:G45"/>
    <mergeCell ref="I45:J45"/>
    <mergeCell ref="O45:P45"/>
    <mergeCell ref="B46:C46"/>
    <mergeCell ref="E46:G46"/>
    <mergeCell ref="I46:J46"/>
    <mergeCell ref="O46:P46"/>
    <mergeCell ref="B47:C47"/>
    <mergeCell ref="E47:G47"/>
    <mergeCell ref="I47:J47"/>
    <mergeCell ref="O47:P47"/>
    <mergeCell ref="R47:S47"/>
    <mergeCell ref="O50:P50"/>
    <mergeCell ref="B51:C51"/>
    <mergeCell ref="E51:G51"/>
    <mergeCell ref="I51:J51"/>
    <mergeCell ref="O51:P51"/>
    <mergeCell ref="R51:S51"/>
    <mergeCell ref="T47:U47"/>
    <mergeCell ref="B48:C48"/>
    <mergeCell ref="E48:G48"/>
    <mergeCell ref="I48:J48"/>
    <mergeCell ref="O48:P48"/>
    <mergeCell ref="R48:S48"/>
    <mergeCell ref="T48:U48"/>
    <mergeCell ref="B49:C49"/>
    <mergeCell ref="E49:G49"/>
    <mergeCell ref="I49:J49"/>
    <mergeCell ref="O49:P49"/>
    <mergeCell ref="R55:S55"/>
    <mergeCell ref="T51:U51"/>
    <mergeCell ref="B52:C52"/>
    <mergeCell ref="E52:G52"/>
    <mergeCell ref="I52:J52"/>
    <mergeCell ref="O52:P52"/>
    <mergeCell ref="R52:S52"/>
    <mergeCell ref="T52:U52"/>
    <mergeCell ref="B53:C53"/>
    <mergeCell ref="E53:G53"/>
    <mergeCell ref="I53:J53"/>
    <mergeCell ref="O53:P53"/>
    <mergeCell ref="R60:S60"/>
    <mergeCell ref="T60:U60"/>
    <mergeCell ref="B61:U61"/>
    <mergeCell ref="B67:C67"/>
    <mergeCell ref="E67:G67"/>
    <mergeCell ref="I67:J67"/>
    <mergeCell ref="T55:U55"/>
    <mergeCell ref="B56:C56"/>
    <mergeCell ref="E56:G56"/>
    <mergeCell ref="I56:J56"/>
    <mergeCell ref="O56:P56"/>
    <mergeCell ref="R56:S56"/>
    <mergeCell ref="T56:U56"/>
    <mergeCell ref="O57:P57"/>
    <mergeCell ref="B58:C58"/>
    <mergeCell ref="E58:G58"/>
    <mergeCell ref="I58:J58"/>
    <mergeCell ref="O58:P58"/>
    <mergeCell ref="R58:S58"/>
    <mergeCell ref="T58:U58"/>
    <mergeCell ref="B55:C55"/>
    <mergeCell ref="E55:G55"/>
    <mergeCell ref="I55:J55"/>
    <mergeCell ref="O55:P55"/>
    <mergeCell ref="B72:C72"/>
    <mergeCell ref="I72:J72"/>
    <mergeCell ref="I73:J73"/>
    <mergeCell ref="E3:Q4"/>
    <mergeCell ref="B68:C68"/>
    <mergeCell ref="E68:G68"/>
    <mergeCell ref="I68:J68"/>
    <mergeCell ref="B69:C69"/>
    <mergeCell ref="I69:J69"/>
    <mergeCell ref="B70:C70"/>
    <mergeCell ref="I70:J70"/>
    <mergeCell ref="B71:C71"/>
    <mergeCell ref="I71:J71"/>
    <mergeCell ref="B60:C60"/>
    <mergeCell ref="E60:G60"/>
    <mergeCell ref="I60:J60"/>
    <mergeCell ref="O60:P60"/>
    <mergeCell ref="B54:C54"/>
    <mergeCell ref="E54:G54"/>
    <mergeCell ref="I54:J54"/>
    <mergeCell ref="O54:P54"/>
    <mergeCell ref="B50:C50"/>
    <mergeCell ref="E50:G50"/>
    <mergeCell ref="I50:J50"/>
  </mergeCells>
  <conditionalFormatting sqref="W12">
    <cfRule type="containsText" dxfId="3" priority="1" operator="containsText" text="WRONG">
      <formula>NOT(ISERROR(SEARCH("WRONG",W12)))</formula>
    </cfRule>
    <cfRule type="containsText" dxfId="2" priority="2" operator="containsText" text="OK">
      <formula>NOT(ISERROR(SEARCH("OK",W12)))</formula>
    </cfRule>
  </conditionalFormatting>
  <printOptions horizontalCentered="1"/>
  <pageMargins left="3.9370078740157501E-2" right="3.9370078740157501E-2" top="0.55118110236220497" bottom="0.43307086614173201" header="0.196850393700787" footer="0.31496062992126"/>
  <pageSetup scale="94" orientation="portrait" horizontalDpi="360" verticalDpi="36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B1:V88"/>
  <sheetViews>
    <sheetView showGridLines="0" topLeftCell="B1" workbookViewId="0">
      <selection activeCell="X11" sqref="X11"/>
    </sheetView>
  </sheetViews>
  <sheetFormatPr defaultColWidth="8.7265625" defaultRowHeight="14"/>
  <cols>
    <col min="1" max="1" width="8.7265625" style="5"/>
    <col min="2" max="2" width="2.453125" style="5" customWidth="1"/>
    <col min="3" max="3" width="4.7265625" style="5" customWidth="1"/>
    <col min="4" max="4" width="6.453125" style="5" customWidth="1"/>
    <col min="5" max="7" width="2.54296875" style="5" customWidth="1"/>
    <col min="8" max="8" width="7.453125" style="5" customWidth="1"/>
    <col min="9" max="9" width="2.7265625" style="5" customWidth="1"/>
    <col min="10" max="10" width="4.1796875" style="5" customWidth="1"/>
    <col min="11" max="13" width="8.1796875" style="5" customWidth="1"/>
    <col min="14" max="14" width="9.54296875" style="5" customWidth="1"/>
    <col min="15" max="16" width="4.54296875" style="5" customWidth="1"/>
    <col min="17" max="17" width="10.453125" style="5" customWidth="1"/>
    <col min="18" max="19" width="4.7265625" style="5" customWidth="1"/>
    <col min="20" max="20" width="7.1796875" style="5" customWidth="1"/>
    <col min="21" max="21" width="3.26953125" style="5" customWidth="1"/>
    <col min="22" max="22" width="6.453125" style="5" customWidth="1"/>
    <col min="23" max="16384" width="8.7265625" style="5"/>
  </cols>
  <sheetData>
    <row r="1" spans="2:21" ht="8.15" customHeight="1"/>
    <row r="2" spans="2:21" ht="20">
      <c r="B2" s="300" t="s">
        <v>22</v>
      </c>
      <c r="C2" s="300"/>
      <c r="D2" s="300"/>
      <c r="E2" s="300"/>
      <c r="F2" s="300"/>
      <c r="G2" s="300"/>
      <c r="H2" s="300"/>
      <c r="I2" s="300"/>
      <c r="J2" s="300"/>
      <c r="K2" s="300"/>
      <c r="L2" s="300"/>
      <c r="M2" s="300"/>
      <c r="N2" s="300"/>
      <c r="O2" s="300"/>
      <c r="P2" s="300"/>
      <c r="Q2" s="300"/>
      <c r="R2" s="300"/>
      <c r="S2" s="300"/>
      <c r="T2" s="300"/>
      <c r="U2" s="300"/>
    </row>
    <row r="3" spans="2:21" ht="16" customHeight="1">
      <c r="E3" s="282" t="s">
        <v>23</v>
      </c>
      <c r="F3" s="282"/>
      <c r="G3" s="282"/>
      <c r="H3" s="282"/>
      <c r="I3" s="282"/>
      <c r="J3" s="282"/>
      <c r="K3" s="282"/>
      <c r="L3" s="282"/>
      <c r="M3" s="282"/>
      <c r="N3" s="282"/>
      <c r="O3" s="282"/>
      <c r="P3" s="282"/>
      <c r="Q3" s="282"/>
    </row>
    <row r="4" spans="2:21" ht="16" customHeight="1">
      <c r="E4" s="282"/>
      <c r="F4" s="282"/>
      <c r="G4" s="282"/>
      <c r="H4" s="282"/>
      <c r="I4" s="282"/>
      <c r="J4" s="282"/>
      <c r="K4" s="282"/>
      <c r="L4" s="282"/>
      <c r="M4" s="282"/>
      <c r="N4" s="282"/>
      <c r="O4" s="282"/>
      <c r="P4" s="282"/>
      <c r="Q4" s="282"/>
    </row>
    <row r="5" spans="2:21" ht="16.5" customHeight="1">
      <c r="D5" s="5" t="s">
        <v>24</v>
      </c>
    </row>
    <row r="6" spans="2:21">
      <c r="D6" s="5" t="s">
        <v>25</v>
      </c>
    </row>
    <row r="7" spans="2:21" ht="21.65" customHeight="1">
      <c r="B7" s="296" t="s">
        <v>26</v>
      </c>
      <c r="C7" s="296"/>
      <c r="D7" s="296"/>
      <c r="E7" s="296"/>
      <c r="F7" s="296"/>
      <c r="G7" s="296"/>
      <c r="H7" s="296"/>
      <c r="I7" s="296"/>
      <c r="J7" s="296"/>
      <c r="K7" s="296"/>
      <c r="L7" s="296"/>
      <c r="M7" s="296"/>
      <c r="N7" s="296"/>
      <c r="O7" s="296"/>
      <c r="P7" s="296"/>
      <c r="Q7" s="296"/>
      <c r="R7" s="296"/>
      <c r="S7" s="296"/>
      <c r="T7" s="296"/>
      <c r="U7" s="296"/>
    </row>
    <row r="8" spans="2:21" s="2" customFormat="1" ht="18.649999999999999" customHeight="1">
      <c r="B8" s="6" t="s">
        <v>27</v>
      </c>
      <c r="C8" s="6"/>
      <c r="D8" s="7"/>
      <c r="E8" s="7"/>
      <c r="F8" s="8" t="s">
        <v>28</v>
      </c>
      <c r="G8" s="301">
        <f>Load!J17</f>
        <v>46218</v>
      </c>
      <c r="H8" s="301"/>
      <c r="I8" s="301"/>
      <c r="J8" s="301"/>
      <c r="K8" s="7"/>
      <c r="L8" s="7"/>
      <c r="M8" s="7"/>
      <c r="N8" s="7"/>
      <c r="O8" s="7"/>
      <c r="P8" s="302" t="s">
        <v>29</v>
      </c>
      <c r="Q8" s="302"/>
      <c r="R8" s="302"/>
      <c r="S8" s="303">
        <v>160</v>
      </c>
      <c r="T8" s="303"/>
      <c r="U8" s="7"/>
    </row>
    <row r="9" spans="2:21">
      <c r="B9" s="9" t="s">
        <v>3</v>
      </c>
      <c r="C9" s="9"/>
      <c r="D9" s="10"/>
      <c r="E9" s="10"/>
      <c r="F9" s="11" t="s">
        <v>28</v>
      </c>
      <c r="G9" s="298">
        <f>Load!K19</f>
        <v>0.50232638888888892</v>
      </c>
      <c r="H9" s="298"/>
      <c r="I9" s="298"/>
      <c r="J9" s="298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</row>
    <row r="10" spans="2:21">
      <c r="B10" s="9" t="s">
        <v>31</v>
      </c>
      <c r="C10" s="9"/>
      <c r="D10" s="10"/>
      <c r="E10" s="10"/>
      <c r="F10" s="11" t="s">
        <v>28</v>
      </c>
      <c r="G10" s="298">
        <f>Load!K21</f>
        <v>0.51138888888888889</v>
      </c>
      <c r="H10" s="298"/>
      <c r="I10" s="298"/>
      <c r="J10" s="298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</row>
    <row r="11" spans="2:21" s="2" customFormat="1" ht="20.149999999999999" customHeight="1">
      <c r="B11" s="7"/>
      <c r="C11" s="6" t="s">
        <v>0</v>
      </c>
      <c r="D11" s="7"/>
      <c r="E11" s="7"/>
      <c r="F11" s="7"/>
      <c r="G11" s="7"/>
      <c r="H11" s="7"/>
      <c r="I11" s="6" t="s">
        <v>28</v>
      </c>
      <c r="J11" s="299">
        <f>Load!AN26</f>
        <v>8338</v>
      </c>
      <c r="K11" s="299"/>
      <c r="L11" s="7"/>
      <c r="M11" s="7"/>
      <c r="N11" s="7"/>
      <c r="O11" s="7"/>
      <c r="P11" s="6" t="s">
        <v>1</v>
      </c>
      <c r="Q11" s="7"/>
      <c r="R11" s="7"/>
      <c r="S11" s="6" t="s">
        <v>28</v>
      </c>
      <c r="T11" s="29">
        <f>Load!BN26</f>
        <v>45</v>
      </c>
      <c r="U11" s="30" t="s">
        <v>32</v>
      </c>
    </row>
    <row r="12" spans="2:21" ht="16" customHeight="1">
      <c r="B12" s="10"/>
      <c r="C12" s="9" t="s">
        <v>5</v>
      </c>
      <c r="D12" s="10"/>
      <c r="E12" s="10"/>
      <c r="F12" s="10"/>
      <c r="G12" s="10"/>
      <c r="H12" s="10"/>
      <c r="I12" s="6" t="s">
        <v>28</v>
      </c>
      <c r="J12" s="10" t="str">
        <f>Load!M26</f>
        <v>JHEERNNODHARA SAMITHI ANANTHAPURAM</v>
      </c>
      <c r="K12" s="10"/>
      <c r="L12" s="10"/>
      <c r="M12" s="10"/>
      <c r="N12" s="10"/>
      <c r="O12" s="10"/>
      <c r="P12" s="9" t="s">
        <v>2</v>
      </c>
      <c r="Q12" s="10"/>
      <c r="R12" s="10"/>
      <c r="S12" s="6" t="s">
        <v>28</v>
      </c>
      <c r="T12" s="29">
        <f>Load!AO29</f>
        <v>10</v>
      </c>
      <c r="U12" s="30" t="s">
        <v>32</v>
      </c>
    </row>
    <row r="13" spans="2:21" ht="16" customHeight="1">
      <c r="B13" s="10"/>
      <c r="C13" s="9" t="s">
        <v>7</v>
      </c>
      <c r="D13" s="10"/>
      <c r="E13" s="10"/>
      <c r="F13" s="10"/>
      <c r="G13" s="10"/>
      <c r="H13" s="10"/>
      <c r="I13" s="6" t="s">
        <v>28</v>
      </c>
      <c r="J13" s="10" t="str">
        <f>Load!M34</f>
        <v>BOVIKANAM</v>
      </c>
      <c r="O13" s="10"/>
      <c r="P13" s="9" t="s">
        <v>4</v>
      </c>
      <c r="Q13" s="10"/>
      <c r="R13" s="10"/>
      <c r="S13" s="6" t="s">
        <v>28</v>
      </c>
      <c r="T13" s="29">
        <v>0</v>
      </c>
      <c r="U13" s="30" t="s">
        <v>32</v>
      </c>
    </row>
    <row r="14" spans="2:21" ht="16" customHeight="1">
      <c r="B14" s="10"/>
      <c r="C14" s="9" t="s">
        <v>9</v>
      </c>
      <c r="D14" s="10"/>
      <c r="E14" s="10"/>
      <c r="F14" s="10"/>
      <c r="G14" s="10"/>
      <c r="H14" s="10"/>
      <c r="I14" s="6" t="s">
        <v>28</v>
      </c>
      <c r="J14" s="10" t="str">
        <f>Load!M29</f>
        <v>M 40 A</v>
      </c>
      <c r="K14" s="10"/>
      <c r="L14" s="10"/>
      <c r="M14" s="10"/>
      <c r="N14" s="10"/>
      <c r="O14" s="10"/>
      <c r="P14" s="9" t="s">
        <v>6</v>
      </c>
      <c r="Q14" s="10"/>
      <c r="R14" s="10"/>
      <c r="S14" s="6" t="s">
        <v>28</v>
      </c>
      <c r="T14" s="29">
        <f>Load!BE26</f>
        <v>31</v>
      </c>
      <c r="U14" s="30" t="s">
        <v>32</v>
      </c>
    </row>
    <row r="15" spans="2:21" ht="16" customHeight="1">
      <c r="B15" s="10"/>
      <c r="C15" s="9" t="s">
        <v>10</v>
      </c>
      <c r="D15" s="10"/>
      <c r="E15" s="10"/>
      <c r="F15" s="10"/>
      <c r="G15" s="10"/>
      <c r="H15" s="10"/>
      <c r="I15" s="6" t="s">
        <v>28</v>
      </c>
      <c r="J15" s="10">
        <f>Load!M32</f>
        <v>0</v>
      </c>
      <c r="K15" s="10"/>
      <c r="L15" s="10"/>
      <c r="M15" s="10"/>
      <c r="N15" s="10"/>
      <c r="O15" s="10"/>
      <c r="P15" s="9" t="s">
        <v>33</v>
      </c>
      <c r="Q15" s="10"/>
      <c r="R15" s="10"/>
      <c r="S15" s="6" t="s">
        <v>28</v>
      </c>
      <c r="T15" s="29">
        <v>1</v>
      </c>
      <c r="U15" s="30" t="s">
        <v>32</v>
      </c>
    </row>
    <row r="16" spans="2:21" ht="16" customHeight="1">
      <c r="B16" s="10"/>
      <c r="C16" s="9" t="s">
        <v>12</v>
      </c>
      <c r="D16" s="10"/>
      <c r="E16" s="10"/>
      <c r="F16" s="10"/>
      <c r="G16" s="10"/>
      <c r="H16" s="10"/>
      <c r="I16" s="6" t="s">
        <v>28</v>
      </c>
      <c r="J16" s="10" t="str">
        <f>Load!BG29</f>
        <v>KL14 AF 2789</v>
      </c>
      <c r="K16" s="10"/>
      <c r="L16" s="10"/>
      <c r="M16" s="10"/>
      <c r="N16" s="10"/>
      <c r="O16" s="10"/>
      <c r="P16" s="9" t="s">
        <v>34</v>
      </c>
      <c r="Q16" s="10"/>
      <c r="R16" s="10"/>
      <c r="S16" s="6" t="s">
        <v>28</v>
      </c>
      <c r="T16" s="29">
        <f>T12/9</f>
        <v>1.1111111111111112</v>
      </c>
      <c r="U16" s="30" t="s">
        <v>32</v>
      </c>
    </row>
    <row r="17" spans="2:22" ht="16" customHeight="1">
      <c r="B17" s="10"/>
      <c r="C17" s="9" t="s">
        <v>11</v>
      </c>
      <c r="D17" s="10"/>
      <c r="E17" s="10"/>
      <c r="F17" s="10"/>
      <c r="G17" s="10"/>
      <c r="H17" s="10"/>
      <c r="I17" s="6" t="s">
        <v>28</v>
      </c>
      <c r="J17" s="10">
        <f>Load!AZ32</f>
        <v>0</v>
      </c>
      <c r="K17" s="10"/>
      <c r="L17" s="10"/>
      <c r="M17" s="10"/>
      <c r="N17" s="10"/>
      <c r="O17" s="10"/>
      <c r="P17" s="9" t="s">
        <v>35</v>
      </c>
      <c r="Q17" s="10"/>
      <c r="R17" s="10"/>
      <c r="S17" s="10"/>
      <c r="T17" s="10">
        <v>0</v>
      </c>
      <c r="U17" s="31" t="s">
        <v>36</v>
      </c>
    </row>
    <row r="18" spans="2:22">
      <c r="C18" s="9" t="s">
        <v>8</v>
      </c>
      <c r="D18" s="10"/>
      <c r="E18" s="10"/>
      <c r="F18" s="10"/>
      <c r="G18" s="10"/>
      <c r="H18" s="10"/>
      <c r="I18" s="6" t="s">
        <v>28</v>
      </c>
      <c r="J18" s="10">
        <f>Load!AZ34</f>
        <v>0</v>
      </c>
      <c r="K18" s="10"/>
      <c r="L18" s="10"/>
      <c r="M18" s="10"/>
      <c r="N18" s="10"/>
      <c r="O18" s="10"/>
    </row>
    <row r="19" spans="2:22">
      <c r="C19" s="9" t="s">
        <v>37</v>
      </c>
      <c r="D19" s="10"/>
      <c r="E19" s="10"/>
      <c r="F19" s="10"/>
      <c r="G19" s="10"/>
      <c r="H19" s="10"/>
      <c r="I19" s="6" t="s">
        <v>28</v>
      </c>
      <c r="J19" s="10" t="s">
        <v>25</v>
      </c>
      <c r="K19" s="10"/>
      <c r="L19" s="10"/>
      <c r="M19" s="10"/>
      <c r="N19" s="10"/>
      <c r="O19" s="10"/>
    </row>
    <row r="20" spans="2:22" ht="22" customHeight="1">
      <c r="B20" s="296" t="s">
        <v>38</v>
      </c>
      <c r="C20" s="296"/>
      <c r="D20" s="296"/>
      <c r="E20" s="296"/>
      <c r="F20" s="296"/>
      <c r="G20" s="296"/>
      <c r="H20" s="296"/>
      <c r="I20" s="296"/>
      <c r="J20" s="296"/>
      <c r="K20" s="296" t="s">
        <v>39</v>
      </c>
      <c r="L20" s="296"/>
      <c r="M20" s="296"/>
      <c r="N20" s="296" t="s">
        <v>40</v>
      </c>
      <c r="O20" s="296"/>
      <c r="P20" s="296"/>
      <c r="Q20" s="32" t="s">
        <v>41</v>
      </c>
      <c r="R20" s="296" t="s">
        <v>42</v>
      </c>
      <c r="S20" s="296"/>
      <c r="T20" s="296"/>
      <c r="U20" s="296"/>
    </row>
    <row r="21" spans="2:22" ht="14.5" customHeight="1">
      <c r="B21" s="297" t="str">
        <f>Load!W45</f>
        <v>M SAND</v>
      </c>
      <c r="C21" s="297"/>
      <c r="D21" s="12" t="str">
        <f>Load!AA45</f>
        <v xml:space="preserve">M SAND </v>
      </c>
      <c r="E21" s="293" t="str">
        <f>Load!AE45</f>
        <v>12 MM</v>
      </c>
      <c r="F21" s="293"/>
      <c r="G21" s="293"/>
      <c r="H21" s="14" t="str">
        <f>Load!AG45</f>
        <v>20 MM</v>
      </c>
      <c r="I21" s="293" t="str">
        <f>Load!AJ45</f>
        <v>0</v>
      </c>
      <c r="J21" s="293"/>
      <c r="K21" s="13" t="str">
        <f>Load!AL45</f>
        <v>CEM 1</v>
      </c>
      <c r="L21" s="13" t="str">
        <f>Load!AP45</f>
        <v>CEM 2</v>
      </c>
      <c r="M21" s="13" t="str">
        <f>Load!AR45</f>
        <v>CEM 3</v>
      </c>
      <c r="O21" s="293" t="str">
        <f>Load!BC45</f>
        <v>WATER</v>
      </c>
      <c r="P21" s="293"/>
      <c r="Q21" s="5" t="s">
        <v>43</v>
      </c>
      <c r="R21" s="297" t="str">
        <f>Load!AV45</f>
        <v>ADMIX1</v>
      </c>
      <c r="S21" s="297"/>
      <c r="T21" s="297" t="str">
        <f>Load!AY45</f>
        <v>ADMIX2</v>
      </c>
      <c r="U21" s="297"/>
    </row>
    <row r="22" spans="2:22">
      <c r="B22" s="10" t="s">
        <v>44</v>
      </c>
    </row>
    <row r="23" spans="2:22" s="2" customFormat="1" ht="20.5" customHeight="1">
      <c r="B23" s="294">
        <f>Load!W46</f>
        <v>0</v>
      </c>
      <c r="C23" s="294"/>
      <c r="D23" s="15">
        <f>Load!AA46</f>
        <v>743</v>
      </c>
      <c r="E23" s="295">
        <f>Load!AE46</f>
        <v>435</v>
      </c>
      <c r="F23" s="295"/>
      <c r="G23" s="295"/>
      <c r="H23" s="15">
        <f>Load!AG46</f>
        <v>681</v>
      </c>
      <c r="I23" s="295"/>
      <c r="J23" s="295"/>
      <c r="K23" s="27">
        <f>Load!AL46</f>
        <v>340</v>
      </c>
      <c r="L23" s="27">
        <f>Load!AP46</f>
        <v>0</v>
      </c>
      <c r="M23" s="27">
        <f>Load!AR46</f>
        <v>100</v>
      </c>
      <c r="N23" s="27">
        <v>0</v>
      </c>
      <c r="O23" s="294">
        <f>Load!BC46</f>
        <v>154</v>
      </c>
      <c r="P23" s="294"/>
      <c r="Q23" s="33">
        <v>0</v>
      </c>
      <c r="R23" s="292">
        <f>Load!AV46</f>
        <v>2.6</v>
      </c>
      <c r="S23" s="292"/>
      <c r="T23" s="292">
        <f>Load!AY46</f>
        <v>0</v>
      </c>
      <c r="U23" s="292"/>
    </row>
    <row r="24" spans="2:22" ht="20.149999999999999" customHeight="1">
      <c r="B24" s="5" t="s">
        <v>45</v>
      </c>
    </row>
    <row r="25" spans="2:22">
      <c r="B25" s="280">
        <f>Load!W47</f>
        <v>0</v>
      </c>
      <c r="C25" s="280"/>
      <c r="D25" s="17">
        <f>Load!AA47</f>
        <v>2</v>
      </c>
      <c r="E25" s="280">
        <f>Load!AE47</f>
        <v>1</v>
      </c>
      <c r="F25" s="280"/>
      <c r="G25" s="280"/>
      <c r="H25" s="18">
        <f>Load!AG47</f>
        <v>1</v>
      </c>
      <c r="I25" s="280">
        <v>0</v>
      </c>
      <c r="J25" s="280"/>
      <c r="K25" s="14"/>
      <c r="L25" s="14"/>
      <c r="M25" s="14"/>
      <c r="N25" s="14"/>
      <c r="O25" s="293">
        <v>0</v>
      </c>
      <c r="P25" s="293"/>
      <c r="Q25" s="14"/>
      <c r="R25" s="14"/>
      <c r="S25" s="14"/>
      <c r="T25" s="14"/>
      <c r="U25" s="14"/>
    </row>
    <row r="26" spans="2:22">
      <c r="B26" s="280">
        <f>Load!W48</f>
        <v>0</v>
      </c>
      <c r="C26" s="280"/>
      <c r="D26" s="124">
        <f>Load!AA48</f>
        <v>4.5</v>
      </c>
      <c r="E26" s="280">
        <f>Load!AE48</f>
        <v>0</v>
      </c>
      <c r="F26" s="280"/>
      <c r="G26" s="280"/>
      <c r="H26" s="16">
        <f>Load!AG48</f>
        <v>0</v>
      </c>
      <c r="I26" s="280">
        <v>0</v>
      </c>
      <c r="J26" s="280"/>
      <c r="K26" s="14"/>
      <c r="L26" s="14"/>
      <c r="M26" s="14"/>
      <c r="N26" s="13" t="s">
        <v>46</v>
      </c>
      <c r="O26" s="279">
        <v>0</v>
      </c>
      <c r="P26" s="279"/>
      <c r="Q26" s="14"/>
      <c r="R26" s="14"/>
      <c r="S26" s="14"/>
      <c r="T26" s="14"/>
      <c r="U26" s="14"/>
    </row>
    <row r="27" spans="2:22">
      <c r="B27" s="286">
        <f>(((B26-B25)*(B23*T16))/100)+(((B26-B25)*(((B26-B25)*(B23*T16))/100))/100)+(B23*T16)</f>
        <v>0</v>
      </c>
      <c r="C27" s="286">
        <f t="shared" ref="C27" si="0">(((C26-C25)*C23)/100)+(((C26-C25)*(((C26-C25)*C23)/100))/100)+C23</f>
        <v>0</v>
      </c>
      <c r="D27" s="20">
        <f>(((D26-D25)*(D23*T16))/100)+(((D26-D25)*(((D26-D25)*(D23*T16))/100))/100)+(D23*T16)</f>
        <v>846.71041666666667</v>
      </c>
      <c r="E27" s="286">
        <f>(((E26-E25)*(E23*T16))/100)+(((E26-E25)*(((E26-E25)*(T16*E23))/100))/100)+(T16*E23)</f>
        <v>478.54833333333335</v>
      </c>
      <c r="F27" s="286">
        <f t="shared" ref="F27:G27" si="1">(((F26-F25)*F23)/100)+(((F26-F25)*(((F26-F25)*F23)/100))/100)+F23</f>
        <v>0</v>
      </c>
      <c r="G27" s="286">
        <f t="shared" si="1"/>
        <v>0</v>
      </c>
      <c r="H27" s="21">
        <f>(((H26-H25)*(T16*H23))/100)+(((H26-H25)*(((H26-H25)*(T16*H23))/100))/100)+(T16*H23)</f>
        <v>749.17566666666676</v>
      </c>
      <c r="I27" s="286">
        <f>(((I26-I25)*(T16*I23))/100)+(((I26-I25)*(((I26-I25)*(T16*I23))/100))/100)+(T16*I23)</f>
        <v>0</v>
      </c>
      <c r="J27" s="286">
        <f t="shared" ref="J27" si="2">(((J26-J25)*J23)/100)+(((J26-J25)*(((J26-J25)*J23)/100))/100)+J23</f>
        <v>0</v>
      </c>
      <c r="K27" s="21">
        <f>K23*T16</f>
        <v>377.77777777777777</v>
      </c>
      <c r="L27" s="21">
        <f>L23*T16</f>
        <v>0</v>
      </c>
      <c r="M27" s="21">
        <f>M23*T16</f>
        <v>111.11111111111111</v>
      </c>
      <c r="N27" s="25">
        <v>0</v>
      </c>
      <c r="O27" s="291">
        <f>(T16*O23)-(((B27*B26/100)-(B27*B25/100))+((D27*D26/100)-(D27*D25/100))+((E27*E26/100)-(E27*E25/100))+((H27*H26/100)-(H27*H25/100)))</f>
        <v>162.22059069444447</v>
      </c>
      <c r="P27" s="291"/>
      <c r="Q27" s="34">
        <v>0</v>
      </c>
      <c r="R27" s="280">
        <f>R23*T16</f>
        <v>2.8888888888888893</v>
      </c>
      <c r="S27" s="280"/>
      <c r="T27" s="289">
        <f>T23*T16</f>
        <v>0</v>
      </c>
      <c r="U27" s="289"/>
    </row>
    <row r="28" spans="2:22">
      <c r="B28" s="286">
        <f ca="1">$B$27+($B$27*1*(0.5-RAND()))/100</f>
        <v>0</v>
      </c>
      <c r="C28" s="286"/>
      <c r="D28" s="21">
        <f ca="1">$D$27+($D$27*1*(0.5-RAND()))/100</f>
        <v>844.48755032615759</v>
      </c>
      <c r="E28" s="286">
        <f ca="1">$E$27+($E$27*1*(0.5-RAND()))/100</f>
        <v>480.60486550171885</v>
      </c>
      <c r="F28" s="286"/>
      <c r="G28" s="286"/>
      <c r="H28" s="21">
        <f ca="1">$H$27+($H$27*1*(0.5-RAND()))/100</f>
        <v>749.60874226954854</v>
      </c>
      <c r="I28" s="286">
        <f ca="1">$I$27+($I$27*1*(0.5-RAND()))/100</f>
        <v>0</v>
      </c>
      <c r="J28" s="286"/>
      <c r="K28" s="21">
        <f ca="1">$K$27+($K$27*2*(0.5-RAND()))/100</f>
        <v>381.29781325747041</v>
      </c>
      <c r="L28" s="21">
        <f ca="1">$L$27+($L$27*2*(0.5-RAND()))/100</f>
        <v>0</v>
      </c>
      <c r="M28" s="21">
        <f ca="1">$M$27+($M$27*2*(0.5-RAND()))/100</f>
        <v>110.69797949006228</v>
      </c>
      <c r="N28" s="25">
        <f ca="1">N27+(N27*1*(0.5-RAND()))/100</f>
        <v>0</v>
      </c>
      <c r="O28" s="286">
        <f ca="1">$O$27+($O$27*(Load!$BM$46+Load!$BO$46*RAND()))/100</f>
        <v>161.23679229108342</v>
      </c>
      <c r="P28" s="286"/>
      <c r="Q28" s="34">
        <v>0</v>
      </c>
      <c r="R28" s="280">
        <f ca="1">$R$27+($R$27*2*(0.5-RAND()))/100</f>
        <v>2.9053370338707052</v>
      </c>
      <c r="S28" s="280"/>
      <c r="T28" s="290">
        <v>0</v>
      </c>
      <c r="U28" s="290"/>
    </row>
    <row r="29" spans="2:22">
      <c r="B29" s="280">
        <f>$B$25</f>
        <v>0</v>
      </c>
      <c r="C29" s="280"/>
      <c r="D29" s="17">
        <f>$D$25</f>
        <v>2</v>
      </c>
      <c r="E29" s="280">
        <f>$E$25</f>
        <v>1</v>
      </c>
      <c r="F29" s="280"/>
      <c r="G29" s="280"/>
      <c r="H29" s="18">
        <f>$H$25</f>
        <v>1</v>
      </c>
      <c r="I29" s="280">
        <v>0</v>
      </c>
      <c r="J29" s="280"/>
      <c r="K29" s="14"/>
      <c r="L29" s="14"/>
      <c r="M29" s="14"/>
      <c r="N29" s="14"/>
      <c r="O29" s="293">
        <v>0</v>
      </c>
      <c r="P29" s="293"/>
      <c r="Q29" s="14"/>
      <c r="R29" s="14"/>
      <c r="S29" s="14"/>
      <c r="T29" s="14"/>
      <c r="U29" s="14"/>
    </row>
    <row r="30" spans="2:22">
      <c r="B30" s="280">
        <f>$B$26</f>
        <v>0</v>
      </c>
      <c r="C30" s="280"/>
      <c r="D30" s="124">
        <f>$D$26</f>
        <v>4.5</v>
      </c>
      <c r="E30" s="280">
        <f>$E$26</f>
        <v>0</v>
      </c>
      <c r="F30" s="280"/>
      <c r="G30" s="280"/>
      <c r="H30" s="16">
        <f>$H$26</f>
        <v>0</v>
      </c>
      <c r="I30" s="280">
        <v>0</v>
      </c>
      <c r="J30" s="280"/>
      <c r="K30" s="14"/>
      <c r="L30" s="14"/>
      <c r="M30" s="14"/>
      <c r="N30" s="13" t="s">
        <v>46</v>
      </c>
      <c r="O30" s="279">
        <v>0</v>
      </c>
      <c r="P30" s="279"/>
      <c r="Q30" s="14"/>
      <c r="R30" s="14"/>
      <c r="S30" s="14"/>
      <c r="T30" s="14"/>
      <c r="U30" s="14"/>
    </row>
    <row r="31" spans="2:22" s="3" customFormat="1">
      <c r="B31" s="286">
        <f>ROUND($B$27,0)</f>
        <v>0</v>
      </c>
      <c r="C31" s="286"/>
      <c r="D31" s="21">
        <f>ROUND(($D$27),0)</f>
        <v>847</v>
      </c>
      <c r="E31" s="286">
        <f>ROUND($E$27,0)</f>
        <v>479</v>
      </c>
      <c r="F31" s="286">
        <f t="shared" ref="F31:U31" si="3">F$27</f>
        <v>0</v>
      </c>
      <c r="G31" s="286">
        <f t="shared" si="3"/>
        <v>0</v>
      </c>
      <c r="H31" s="21">
        <f>ROUND($H$27,0)</f>
        <v>749</v>
      </c>
      <c r="I31" s="286">
        <f>$I$27</f>
        <v>0</v>
      </c>
      <c r="J31" s="286">
        <f t="shared" si="3"/>
        <v>0</v>
      </c>
      <c r="K31" s="21">
        <f>$K$27</f>
        <v>377.77777777777777</v>
      </c>
      <c r="L31" s="21">
        <f>$L$27</f>
        <v>0</v>
      </c>
      <c r="M31" s="21">
        <f>$M$27</f>
        <v>111.11111111111111</v>
      </c>
      <c r="N31" s="25">
        <f>$N$27</f>
        <v>0</v>
      </c>
      <c r="O31" s="286">
        <f>$O$27</f>
        <v>162.22059069444447</v>
      </c>
      <c r="P31" s="286">
        <f t="shared" si="3"/>
        <v>0</v>
      </c>
      <c r="Q31" s="34">
        <f>$Q$27</f>
        <v>0</v>
      </c>
      <c r="R31" s="280">
        <f>$R$27</f>
        <v>2.8888888888888893</v>
      </c>
      <c r="S31" s="280">
        <f t="shared" si="3"/>
        <v>0</v>
      </c>
      <c r="T31" s="289">
        <f>$T$27</f>
        <v>0</v>
      </c>
      <c r="U31" s="289">
        <f t="shared" si="3"/>
        <v>0</v>
      </c>
      <c r="V31" s="5"/>
    </row>
    <row r="32" spans="2:22" s="3" customFormat="1">
      <c r="B32" s="286">
        <f ca="1">$B$27+($B$27*1*(0.5-RAND()))/100</f>
        <v>0</v>
      </c>
      <c r="C32" s="286"/>
      <c r="D32" s="21">
        <f ca="1">$D$27+($D$27*1*(0.5-RAND()))/100</f>
        <v>847.12246730026516</v>
      </c>
      <c r="E32" s="286">
        <f ca="1">$E$27+($E$27*1*(0.5-RAND()))/100</f>
        <v>480.80007146519659</v>
      </c>
      <c r="F32" s="286"/>
      <c r="G32" s="286"/>
      <c r="H32" s="21">
        <f ca="1">$H$27+($H$27*1*(0.5-RAND()))/100</f>
        <v>750.47561872744654</v>
      </c>
      <c r="I32" s="286">
        <f ca="1">$I$27+($I$27*1*(0.5-RAND()))/100</f>
        <v>0</v>
      </c>
      <c r="J32" s="286"/>
      <c r="K32" s="21">
        <f ca="1">$K$27+($K$27*2*(0.5-RAND()))/100</f>
        <v>379.41938039137034</v>
      </c>
      <c r="L32" s="21">
        <f ca="1">$L$27+($L$27*2*(0.5-RAND()))/100</f>
        <v>0</v>
      </c>
      <c r="M32" s="21">
        <f ca="1">$M$27+($M$27*2*(0.5-RAND()))/100</f>
        <v>111.85262854123312</v>
      </c>
      <c r="N32" s="25">
        <v>0</v>
      </c>
      <c r="O32" s="286">
        <f ca="1">$O$27+($O$27*(Load!$BM$46+Load!$BO$46*RAND()))/100</f>
        <v>163.15936041452875</v>
      </c>
      <c r="P32" s="286"/>
      <c r="Q32" s="16">
        <v>0</v>
      </c>
      <c r="R32" s="280">
        <f ca="1">$R$27+($R$27*2*(0.5-RAND()))/100</f>
        <v>2.8937210678302367</v>
      </c>
      <c r="S32" s="280"/>
      <c r="T32" s="290">
        <v>0</v>
      </c>
      <c r="U32" s="290"/>
      <c r="V32" s="5"/>
    </row>
    <row r="33" spans="2:22" s="3" customFormat="1">
      <c r="B33" s="280">
        <f>$B$25</f>
        <v>0</v>
      </c>
      <c r="C33" s="280"/>
      <c r="D33" s="17">
        <f>$D$25</f>
        <v>2</v>
      </c>
      <c r="E33" s="280">
        <f>$E$25</f>
        <v>1</v>
      </c>
      <c r="F33" s="280"/>
      <c r="G33" s="280"/>
      <c r="H33" s="18">
        <f>$H$25</f>
        <v>1</v>
      </c>
      <c r="I33" s="280">
        <v>0</v>
      </c>
      <c r="J33" s="280"/>
      <c r="K33" s="14"/>
      <c r="L33" s="14"/>
      <c r="M33" s="14"/>
      <c r="N33" s="14"/>
      <c r="O33" s="293">
        <v>0</v>
      </c>
      <c r="P33" s="293"/>
      <c r="Q33" s="14"/>
      <c r="R33" s="14"/>
      <c r="S33" s="14"/>
      <c r="T33" s="14"/>
      <c r="U33" s="14"/>
      <c r="V33" s="5"/>
    </row>
    <row r="34" spans="2:22" s="3" customFormat="1">
      <c r="B34" s="280">
        <f>$B$26</f>
        <v>0</v>
      </c>
      <c r="C34" s="280"/>
      <c r="D34" s="124">
        <f>$D$26</f>
        <v>4.5</v>
      </c>
      <c r="E34" s="280">
        <f>$E$26</f>
        <v>0</v>
      </c>
      <c r="F34" s="280"/>
      <c r="G34" s="280"/>
      <c r="H34" s="16">
        <f>$H$26</f>
        <v>0</v>
      </c>
      <c r="I34" s="280">
        <v>0</v>
      </c>
      <c r="J34" s="280"/>
      <c r="K34" s="14"/>
      <c r="L34" s="14"/>
      <c r="M34" s="14"/>
      <c r="N34" s="13" t="s">
        <v>46</v>
      </c>
      <c r="O34" s="279">
        <v>0</v>
      </c>
      <c r="P34" s="279"/>
      <c r="Q34" s="14"/>
      <c r="R34" s="14"/>
      <c r="S34" s="14"/>
      <c r="T34" s="14"/>
      <c r="U34" s="14"/>
      <c r="V34" s="5"/>
    </row>
    <row r="35" spans="2:22" s="3" customFormat="1">
      <c r="B35" s="286">
        <f>ROUND($B$27,0)</f>
        <v>0</v>
      </c>
      <c r="C35" s="286"/>
      <c r="D35" s="21">
        <f>ROUND(($D$27),0)</f>
        <v>847</v>
      </c>
      <c r="E35" s="286">
        <f>ROUND($E$27,0)</f>
        <v>479</v>
      </c>
      <c r="F35" s="286">
        <f t="shared" ref="F35:G35" si="4">F$27</f>
        <v>0</v>
      </c>
      <c r="G35" s="286">
        <f t="shared" si="4"/>
        <v>0</v>
      </c>
      <c r="H35" s="21">
        <f>ROUND($H$27,0)</f>
        <v>749</v>
      </c>
      <c r="I35" s="286">
        <f>$I$27</f>
        <v>0</v>
      </c>
      <c r="J35" s="286">
        <f t="shared" ref="J35" si="5">J$27</f>
        <v>0</v>
      </c>
      <c r="K35" s="21">
        <f>$K$27</f>
        <v>377.77777777777777</v>
      </c>
      <c r="L35" s="21">
        <f>$L$27</f>
        <v>0</v>
      </c>
      <c r="M35" s="21">
        <f>$M$27</f>
        <v>111.11111111111111</v>
      </c>
      <c r="N35" s="25">
        <f>$N$27</f>
        <v>0</v>
      </c>
      <c r="O35" s="286">
        <f>$O$27</f>
        <v>162.22059069444447</v>
      </c>
      <c r="P35" s="286">
        <f t="shared" ref="P35" si="6">P$27</f>
        <v>0</v>
      </c>
      <c r="Q35" s="16">
        <f>$Q$27</f>
        <v>0</v>
      </c>
      <c r="R35" s="280">
        <f>$R$27</f>
        <v>2.8888888888888893</v>
      </c>
      <c r="S35" s="280">
        <f t="shared" ref="S35" si="7">S$27</f>
        <v>0</v>
      </c>
      <c r="T35" s="289">
        <f>$T$27</f>
        <v>0</v>
      </c>
      <c r="U35" s="289">
        <f t="shared" ref="U35" si="8">U$27</f>
        <v>0</v>
      </c>
      <c r="V35" s="5"/>
    </row>
    <row r="36" spans="2:22" s="3" customFormat="1">
      <c r="B36" s="286">
        <f ca="1">$B$27+($B$27*1*(0.5-RAND()))/100</f>
        <v>0</v>
      </c>
      <c r="C36" s="286"/>
      <c r="D36" s="21">
        <f ca="1">$D$27+($D$27*1*(0.5-RAND()))/100</f>
        <v>846.68241039610098</v>
      </c>
      <c r="E36" s="286">
        <f ca="1">$E$27+($E$27*1*(0.5-RAND()))/100</f>
        <v>477.50580130706749</v>
      </c>
      <c r="F36" s="286"/>
      <c r="G36" s="286"/>
      <c r="H36" s="21">
        <f ca="1">$H$27+($H$27*1*(0.5-RAND()))/100</f>
        <v>749.63802005325385</v>
      </c>
      <c r="I36" s="286">
        <f ca="1">$I$27+($I$27*1*(0.5-RAND()))/100</f>
        <v>0</v>
      </c>
      <c r="J36" s="286"/>
      <c r="K36" s="21">
        <f ca="1">$K$27+($K$27*2*(0.5-RAND()))/100</f>
        <v>374.21149517649627</v>
      </c>
      <c r="L36" s="21">
        <f ca="1">$L$27+($L$27*2*(0.5-RAND()))/100</f>
        <v>0</v>
      </c>
      <c r="M36" s="21">
        <f ca="1">$M$27+($M$27*2*(0.5-RAND()))/100</f>
        <v>112.12166112704435</v>
      </c>
      <c r="N36" s="25">
        <v>0</v>
      </c>
      <c r="O36" s="286">
        <f ca="1">$O$27+($O$27*(Load!$BM$46+Load!$BO$46*RAND()))/100</f>
        <v>163.28640593549798</v>
      </c>
      <c r="P36" s="286"/>
      <c r="Q36" s="16">
        <v>0</v>
      </c>
      <c r="R36" s="280">
        <f ca="1">$R$27+($R$27*2*(0.5-RAND()))/100</f>
        <v>2.9150711184407614</v>
      </c>
      <c r="S36" s="280"/>
      <c r="T36" s="290">
        <v>0</v>
      </c>
      <c r="U36" s="290"/>
      <c r="V36" s="5"/>
    </row>
    <row r="37" spans="2:22" s="3" customFormat="1">
      <c r="B37" s="280">
        <f>$B$25</f>
        <v>0</v>
      </c>
      <c r="C37" s="280"/>
      <c r="D37" s="17">
        <f>$D$25</f>
        <v>2</v>
      </c>
      <c r="E37" s="280">
        <f>$E$25</f>
        <v>1</v>
      </c>
      <c r="F37" s="280"/>
      <c r="G37" s="280"/>
      <c r="H37" s="18">
        <f>$H$25</f>
        <v>1</v>
      </c>
      <c r="I37" s="280">
        <v>0</v>
      </c>
      <c r="J37" s="280"/>
      <c r="K37" s="14"/>
      <c r="L37" s="14"/>
      <c r="M37" s="14"/>
      <c r="N37" s="14"/>
      <c r="O37" s="293">
        <v>0</v>
      </c>
      <c r="P37" s="293"/>
      <c r="Q37" s="14"/>
      <c r="R37" s="14"/>
      <c r="S37" s="14"/>
      <c r="T37" s="14"/>
      <c r="U37" s="14"/>
      <c r="V37" s="5"/>
    </row>
    <row r="38" spans="2:22" s="3" customFormat="1">
      <c r="B38" s="280">
        <f>$B$26</f>
        <v>0</v>
      </c>
      <c r="C38" s="280"/>
      <c r="D38" s="124">
        <f>$D$26</f>
        <v>4.5</v>
      </c>
      <c r="E38" s="280">
        <f>$E$26</f>
        <v>0</v>
      </c>
      <c r="F38" s="280"/>
      <c r="G38" s="280"/>
      <c r="H38" s="16">
        <f>$H$26</f>
        <v>0</v>
      </c>
      <c r="I38" s="280">
        <v>0</v>
      </c>
      <c r="J38" s="280"/>
      <c r="K38" s="14"/>
      <c r="L38" s="14"/>
      <c r="M38" s="14"/>
      <c r="N38" s="13" t="s">
        <v>46</v>
      </c>
      <c r="O38" s="279">
        <v>0</v>
      </c>
      <c r="P38" s="279"/>
      <c r="Q38" s="14"/>
      <c r="R38" s="14"/>
      <c r="S38" s="14"/>
      <c r="T38" s="14"/>
      <c r="U38" s="14"/>
      <c r="V38" s="5"/>
    </row>
    <row r="39" spans="2:22" s="3" customFormat="1">
      <c r="B39" s="286">
        <f>ROUND($B$27,0)</f>
        <v>0</v>
      </c>
      <c r="C39" s="286"/>
      <c r="D39" s="21">
        <f>ROUND(($D$27),0)</f>
        <v>847</v>
      </c>
      <c r="E39" s="286">
        <f>ROUND($E$27,0)</f>
        <v>479</v>
      </c>
      <c r="F39" s="286">
        <f t="shared" ref="F39:G39" si="9">F$27</f>
        <v>0</v>
      </c>
      <c r="G39" s="286">
        <f t="shared" si="9"/>
        <v>0</v>
      </c>
      <c r="H39" s="21">
        <f>ROUND($H$27,0)</f>
        <v>749</v>
      </c>
      <c r="I39" s="286">
        <f>$I$27</f>
        <v>0</v>
      </c>
      <c r="J39" s="286">
        <f t="shared" ref="J39" si="10">J$27</f>
        <v>0</v>
      </c>
      <c r="K39" s="21">
        <f>$K$27</f>
        <v>377.77777777777777</v>
      </c>
      <c r="L39" s="21">
        <f>$L$27</f>
        <v>0</v>
      </c>
      <c r="M39" s="21">
        <f>$M$27</f>
        <v>111.11111111111111</v>
      </c>
      <c r="N39" s="25">
        <f>$N$27</f>
        <v>0</v>
      </c>
      <c r="O39" s="286">
        <f>$O$27</f>
        <v>162.22059069444447</v>
      </c>
      <c r="P39" s="286">
        <f t="shared" ref="P39" si="11">P$27</f>
        <v>0</v>
      </c>
      <c r="Q39" s="16">
        <f>$Q$27</f>
        <v>0</v>
      </c>
      <c r="R39" s="280">
        <f>$R$27</f>
        <v>2.8888888888888893</v>
      </c>
      <c r="S39" s="280">
        <f t="shared" ref="S39" si="12">S$27</f>
        <v>0</v>
      </c>
      <c r="T39" s="289">
        <f>$T$27</f>
        <v>0</v>
      </c>
      <c r="U39" s="289">
        <f t="shared" ref="U39" si="13">U$27</f>
        <v>0</v>
      </c>
      <c r="V39" s="5"/>
    </row>
    <row r="40" spans="2:22" s="3" customFormat="1">
      <c r="B40" s="286">
        <f ca="1">$B$27+($B$27*1*(0.5-RAND()))/100</f>
        <v>0</v>
      </c>
      <c r="C40" s="286"/>
      <c r="D40" s="21">
        <f ca="1">$D$27+($D$27*1*(0.5-RAND()))/100</f>
        <v>848.50513673301339</v>
      </c>
      <c r="E40" s="286">
        <f ca="1">$E$27+($E$27*1*(0.5-RAND()))/100</f>
        <v>477.00138915708482</v>
      </c>
      <c r="F40" s="286"/>
      <c r="G40" s="286"/>
      <c r="H40" s="21">
        <f ca="1">$H$27+($H$27*1*(0.5-RAND()))/100</f>
        <v>752.6302268431923</v>
      </c>
      <c r="I40" s="286">
        <f ca="1">$I$27+($I$27*1*(0.5-RAND()))/100</f>
        <v>0</v>
      </c>
      <c r="J40" s="286"/>
      <c r="K40" s="21">
        <f ca="1">$K$27+($K$27*2*(0.5-RAND()))/100</f>
        <v>374.38891523431857</v>
      </c>
      <c r="L40" s="21">
        <f ca="1">$L$27+($L$27*2*(0.5-RAND()))/100</f>
        <v>0</v>
      </c>
      <c r="M40" s="21">
        <f ca="1">$M$27+($M$27*2*(0.5-RAND()))/100</f>
        <v>110.51255908165469</v>
      </c>
      <c r="N40" s="25">
        <v>0</v>
      </c>
      <c r="O40" s="286">
        <f ca="1">$O$27+($O$27*(Load!$BM$46+Load!$BO$46*RAND()))/100</f>
        <v>159.40150408970925</v>
      </c>
      <c r="P40" s="286"/>
      <c r="Q40" s="16">
        <v>0</v>
      </c>
      <c r="R40" s="280">
        <f ca="1">$R$27+($R$27*2*(0.5-RAND()))/100</f>
        <v>2.867264703637066</v>
      </c>
      <c r="S40" s="280"/>
      <c r="T40" s="290">
        <v>0</v>
      </c>
      <c r="U40" s="290"/>
      <c r="V40" s="5"/>
    </row>
    <row r="41" spans="2:22" s="3" customFormat="1">
      <c r="B41" s="280">
        <f>$B$25</f>
        <v>0</v>
      </c>
      <c r="C41" s="280"/>
      <c r="D41" s="17">
        <f>$D$25</f>
        <v>2</v>
      </c>
      <c r="E41" s="280">
        <f>$E$25</f>
        <v>1</v>
      </c>
      <c r="F41" s="280"/>
      <c r="G41" s="280"/>
      <c r="H41" s="18">
        <f>$H$25</f>
        <v>1</v>
      </c>
      <c r="I41" s="280">
        <v>0</v>
      </c>
      <c r="J41" s="280"/>
      <c r="K41" s="14"/>
      <c r="L41" s="14"/>
      <c r="M41" s="14"/>
      <c r="N41" s="14"/>
      <c r="O41" s="293">
        <v>0</v>
      </c>
      <c r="P41" s="293"/>
      <c r="Q41" s="14"/>
      <c r="R41" s="14"/>
      <c r="S41" s="14"/>
      <c r="T41" s="14"/>
      <c r="U41" s="14"/>
      <c r="V41" s="5"/>
    </row>
    <row r="42" spans="2:22" s="3" customFormat="1">
      <c r="B42" s="280">
        <f>$B$26</f>
        <v>0</v>
      </c>
      <c r="C42" s="280"/>
      <c r="D42" s="124">
        <f>$D$26</f>
        <v>4.5</v>
      </c>
      <c r="E42" s="280">
        <f>$E$26</f>
        <v>0</v>
      </c>
      <c r="F42" s="280"/>
      <c r="G42" s="280"/>
      <c r="H42" s="16">
        <f>$H$26</f>
        <v>0</v>
      </c>
      <c r="I42" s="280">
        <v>0</v>
      </c>
      <c r="J42" s="280"/>
      <c r="K42" s="14"/>
      <c r="L42" s="14"/>
      <c r="M42" s="14"/>
      <c r="N42" s="13" t="s">
        <v>46</v>
      </c>
      <c r="O42" s="279">
        <v>0</v>
      </c>
      <c r="P42" s="279"/>
      <c r="Q42" s="14"/>
      <c r="R42" s="14"/>
      <c r="S42" s="14"/>
      <c r="T42" s="14"/>
      <c r="U42" s="14"/>
      <c r="V42" s="5"/>
    </row>
    <row r="43" spans="2:22" s="3" customFormat="1">
      <c r="B43" s="286">
        <f>ROUND($B$27,0)</f>
        <v>0</v>
      </c>
      <c r="C43" s="286"/>
      <c r="D43" s="21">
        <f>ROUND(($D$27),0)</f>
        <v>847</v>
      </c>
      <c r="E43" s="286">
        <f>ROUND($E$27,0)</f>
        <v>479</v>
      </c>
      <c r="F43" s="286">
        <f t="shared" ref="F43:G43" si="14">F$27</f>
        <v>0</v>
      </c>
      <c r="G43" s="286">
        <f t="shared" si="14"/>
        <v>0</v>
      </c>
      <c r="H43" s="21">
        <f>ROUND($H$27,0)</f>
        <v>749</v>
      </c>
      <c r="I43" s="286">
        <f>$I$27</f>
        <v>0</v>
      </c>
      <c r="J43" s="286">
        <f t="shared" ref="J43" si="15">J$27</f>
        <v>0</v>
      </c>
      <c r="K43" s="21">
        <f>$K$27</f>
        <v>377.77777777777777</v>
      </c>
      <c r="L43" s="21">
        <f>$L$27</f>
        <v>0</v>
      </c>
      <c r="M43" s="21">
        <f>$M$27</f>
        <v>111.11111111111111</v>
      </c>
      <c r="N43" s="25">
        <f>$N$27</f>
        <v>0</v>
      </c>
      <c r="O43" s="286">
        <f>$O$27</f>
        <v>162.22059069444447</v>
      </c>
      <c r="P43" s="286">
        <f t="shared" ref="P43" si="16">P$27</f>
        <v>0</v>
      </c>
      <c r="Q43" s="16">
        <f>$Q$27</f>
        <v>0</v>
      </c>
      <c r="R43" s="280">
        <f>$R$27</f>
        <v>2.8888888888888893</v>
      </c>
      <c r="S43" s="280">
        <f t="shared" ref="S43" si="17">S$27</f>
        <v>0</v>
      </c>
      <c r="T43" s="289">
        <f>$T$27</f>
        <v>0</v>
      </c>
      <c r="U43" s="289">
        <f t="shared" ref="U43" si="18">U$27</f>
        <v>0</v>
      </c>
      <c r="V43" s="5"/>
    </row>
    <row r="44" spans="2:22" s="3" customFormat="1">
      <c r="B44" s="286">
        <f ca="1">$B$27+($B$27*1*(0.5-RAND()))/100</f>
        <v>0</v>
      </c>
      <c r="C44" s="286"/>
      <c r="D44" s="21">
        <f ca="1">$D$27+($D$27*1*(0.5-RAND()))/100</f>
        <v>843.52240588573875</v>
      </c>
      <c r="E44" s="286">
        <f ca="1">$E$27+($E$27*1*(0.5-RAND()))/100</f>
        <v>480.4748422836459</v>
      </c>
      <c r="F44" s="286"/>
      <c r="G44" s="286"/>
      <c r="H44" s="21">
        <f ca="1">$H$27+($H$27*1*(0.5-RAND()))/100</f>
        <v>746.18706985838151</v>
      </c>
      <c r="I44" s="286">
        <f ca="1">$I$27+($I$27*1*(0.5-RAND()))/100</f>
        <v>0</v>
      </c>
      <c r="J44" s="286"/>
      <c r="K44" s="21">
        <f ca="1">$K$27+($K$27*2*(0.5-RAND()))/100</f>
        <v>377.48981892830869</v>
      </c>
      <c r="L44" s="21">
        <f ca="1">$L$27+($L$27*2*(0.5-RAND()))/100</f>
        <v>0</v>
      </c>
      <c r="M44" s="21">
        <f ca="1">$M$27+($M$27*2*(0.5-RAND()))/100</f>
        <v>111.43785402696912</v>
      </c>
      <c r="N44" s="25">
        <v>0</v>
      </c>
      <c r="O44" s="286">
        <f ca="1">$O$27+($O$27*(Load!$BM$46+Load!$BO$46*RAND()))/100</f>
        <v>159.15221186861706</v>
      </c>
      <c r="P44" s="286"/>
      <c r="Q44" s="16">
        <v>0</v>
      </c>
      <c r="R44" s="280">
        <f ca="1">$R$27+($R$27*2*(0.5-RAND()))/100</f>
        <v>2.9172330441784813</v>
      </c>
      <c r="S44" s="280"/>
      <c r="T44" s="290">
        <v>0</v>
      </c>
      <c r="U44" s="290"/>
      <c r="V44" s="5"/>
    </row>
    <row r="45" spans="2:22" s="3" customFormat="1">
      <c r="B45" s="280">
        <f>$B$25</f>
        <v>0</v>
      </c>
      <c r="C45" s="280"/>
      <c r="D45" s="17">
        <f>$D$25</f>
        <v>2</v>
      </c>
      <c r="E45" s="280">
        <f>$E$25</f>
        <v>1</v>
      </c>
      <c r="F45" s="280"/>
      <c r="G45" s="280"/>
      <c r="H45" s="18">
        <f>$H$25</f>
        <v>1</v>
      </c>
      <c r="I45" s="280">
        <v>0</v>
      </c>
      <c r="J45" s="280"/>
      <c r="K45" s="14"/>
      <c r="L45" s="14"/>
      <c r="M45" s="14"/>
      <c r="N45" s="14"/>
      <c r="O45" s="293">
        <v>0</v>
      </c>
      <c r="P45" s="293"/>
      <c r="Q45" s="14"/>
      <c r="R45" s="14"/>
      <c r="S45" s="14"/>
      <c r="T45" s="14"/>
      <c r="U45" s="14"/>
      <c r="V45" s="5"/>
    </row>
    <row r="46" spans="2:22" s="3" customFormat="1">
      <c r="B46" s="280">
        <f>$B$26</f>
        <v>0</v>
      </c>
      <c r="C46" s="280"/>
      <c r="D46" s="124">
        <f>$D$26</f>
        <v>4.5</v>
      </c>
      <c r="E46" s="280">
        <f>$E$26</f>
        <v>0</v>
      </c>
      <c r="F46" s="280"/>
      <c r="G46" s="280"/>
      <c r="H46" s="16">
        <f>$H$26</f>
        <v>0</v>
      </c>
      <c r="I46" s="280">
        <v>0</v>
      </c>
      <c r="J46" s="280"/>
      <c r="K46" s="14"/>
      <c r="L46" s="14"/>
      <c r="M46" s="14"/>
      <c r="N46" s="13" t="s">
        <v>46</v>
      </c>
      <c r="O46" s="279">
        <v>0</v>
      </c>
      <c r="P46" s="279"/>
      <c r="Q46" s="14"/>
      <c r="R46" s="14"/>
      <c r="S46" s="14"/>
      <c r="T46" s="14"/>
      <c r="U46" s="14"/>
      <c r="V46" s="5"/>
    </row>
    <row r="47" spans="2:22" s="3" customFormat="1">
      <c r="B47" s="286">
        <f>ROUND($B$27,0)</f>
        <v>0</v>
      </c>
      <c r="C47" s="286"/>
      <c r="D47" s="21">
        <f>ROUND(($D$27),0)</f>
        <v>847</v>
      </c>
      <c r="E47" s="286">
        <f>ROUND($E$27,0)</f>
        <v>479</v>
      </c>
      <c r="F47" s="286">
        <f t="shared" ref="F47:G47" si="19">F$27</f>
        <v>0</v>
      </c>
      <c r="G47" s="286">
        <f t="shared" si="19"/>
        <v>0</v>
      </c>
      <c r="H47" s="21">
        <f>ROUND($H$27,0)</f>
        <v>749</v>
      </c>
      <c r="I47" s="286">
        <f>$I$27</f>
        <v>0</v>
      </c>
      <c r="J47" s="286">
        <f t="shared" ref="J47" si="20">J$27</f>
        <v>0</v>
      </c>
      <c r="K47" s="21">
        <f>$K$27</f>
        <v>377.77777777777777</v>
      </c>
      <c r="L47" s="21">
        <f>$L$27</f>
        <v>0</v>
      </c>
      <c r="M47" s="21">
        <f>$M$27</f>
        <v>111.11111111111111</v>
      </c>
      <c r="N47" s="25">
        <f>$N$27</f>
        <v>0</v>
      </c>
      <c r="O47" s="286">
        <f>$O$27</f>
        <v>162.22059069444447</v>
      </c>
      <c r="P47" s="286">
        <f t="shared" ref="P47" si="21">P$27</f>
        <v>0</v>
      </c>
      <c r="Q47" s="16">
        <f>$Q$27</f>
        <v>0</v>
      </c>
      <c r="R47" s="280">
        <f>$R$27</f>
        <v>2.8888888888888893</v>
      </c>
      <c r="S47" s="280">
        <f t="shared" ref="S47" si="22">S$27</f>
        <v>0</v>
      </c>
      <c r="T47" s="289">
        <f>$T$27</f>
        <v>0</v>
      </c>
      <c r="U47" s="289">
        <f t="shared" ref="U47" si="23">U$27</f>
        <v>0</v>
      </c>
      <c r="V47" s="5"/>
    </row>
    <row r="48" spans="2:22" s="3" customFormat="1">
      <c r="B48" s="286">
        <f ca="1">$B$27+($B$27*1*(0.5-RAND()))/100</f>
        <v>0</v>
      </c>
      <c r="C48" s="286"/>
      <c r="D48" s="21">
        <f ca="1">$D$27+($D$27*1*(0.5-RAND()))/100</f>
        <v>845.54775537364685</v>
      </c>
      <c r="E48" s="286">
        <f ca="1">$E$27+($E$27*1*(0.5-RAND()))/100</f>
        <v>479.83444674715946</v>
      </c>
      <c r="F48" s="286"/>
      <c r="G48" s="286"/>
      <c r="H48" s="21">
        <f ca="1">$H$27+($H$27*1*(0.5-RAND()))/100</f>
        <v>747.55776150665145</v>
      </c>
      <c r="I48" s="286">
        <f ca="1">$I$27+($I$27*1*(0.5-RAND()))/100</f>
        <v>0</v>
      </c>
      <c r="J48" s="286"/>
      <c r="K48" s="21">
        <f ca="1">$K$27+($K$27*2*(0.5-RAND()))/100</f>
        <v>375.17133988280523</v>
      </c>
      <c r="L48" s="21">
        <f ca="1">$L$27+($L$27*2*(0.5-RAND()))/100</f>
        <v>0</v>
      </c>
      <c r="M48" s="21">
        <f ca="1">$M$27+($M$27*2*(0.5-RAND()))/100</f>
        <v>110.2638658884495</v>
      </c>
      <c r="N48" s="25">
        <v>0</v>
      </c>
      <c r="O48" s="286">
        <f ca="1">$O$27+($O$27*(Load!$BM$46+Load!$BO$46*RAND()))/100</f>
        <v>161.20484151895226</v>
      </c>
      <c r="P48" s="286"/>
      <c r="Q48" s="16">
        <v>0</v>
      </c>
      <c r="R48" s="280">
        <f ca="1">$R$27+($R$27*2*(0.5-RAND()))/100</f>
        <v>2.8666496949864122</v>
      </c>
      <c r="S48" s="280"/>
      <c r="T48" s="290">
        <v>0</v>
      </c>
      <c r="U48" s="290"/>
      <c r="V48" s="5"/>
    </row>
    <row r="49" spans="2:22" s="3" customFormat="1">
      <c r="B49" s="280">
        <f>$B$25</f>
        <v>0</v>
      </c>
      <c r="C49" s="280"/>
      <c r="D49" s="17">
        <f>$D$25</f>
        <v>2</v>
      </c>
      <c r="E49" s="280">
        <f>$E$25</f>
        <v>1</v>
      </c>
      <c r="F49" s="280"/>
      <c r="G49" s="280"/>
      <c r="H49" s="18">
        <f>$H$25</f>
        <v>1</v>
      </c>
      <c r="I49" s="280">
        <v>0</v>
      </c>
      <c r="J49" s="280"/>
      <c r="K49" s="14"/>
      <c r="L49" s="14"/>
      <c r="M49" s="14"/>
      <c r="N49" s="14"/>
      <c r="O49" s="293">
        <v>0</v>
      </c>
      <c r="P49" s="293"/>
      <c r="Q49" s="14"/>
      <c r="R49" s="14"/>
      <c r="S49" s="14"/>
      <c r="T49" s="14"/>
      <c r="U49" s="14"/>
      <c r="V49" s="5"/>
    </row>
    <row r="50" spans="2:22" s="3" customFormat="1">
      <c r="B50" s="280">
        <f>$B$26</f>
        <v>0</v>
      </c>
      <c r="C50" s="280"/>
      <c r="D50" s="124">
        <f>$D$26</f>
        <v>4.5</v>
      </c>
      <c r="E50" s="280">
        <f>$E$26</f>
        <v>0</v>
      </c>
      <c r="F50" s="280"/>
      <c r="G50" s="280"/>
      <c r="H50" s="16">
        <f>$H$26</f>
        <v>0</v>
      </c>
      <c r="I50" s="280">
        <v>0</v>
      </c>
      <c r="J50" s="280"/>
      <c r="K50" s="14"/>
      <c r="L50" s="14"/>
      <c r="M50" s="14"/>
      <c r="N50" s="13" t="s">
        <v>46</v>
      </c>
      <c r="O50" s="279">
        <v>0</v>
      </c>
      <c r="P50" s="279"/>
      <c r="Q50" s="14"/>
      <c r="R50" s="14"/>
      <c r="S50" s="14"/>
      <c r="T50" s="14"/>
      <c r="U50" s="14"/>
      <c r="V50" s="5"/>
    </row>
    <row r="51" spans="2:22" s="3" customFormat="1">
      <c r="B51" s="286">
        <f>ROUND($B$27,0)</f>
        <v>0</v>
      </c>
      <c r="C51" s="286"/>
      <c r="D51" s="21">
        <f>ROUND(($D$27),0)</f>
        <v>847</v>
      </c>
      <c r="E51" s="286">
        <f>ROUND($E$27,0)</f>
        <v>479</v>
      </c>
      <c r="F51" s="286">
        <f t="shared" ref="F51:G51" si="24">F$27</f>
        <v>0</v>
      </c>
      <c r="G51" s="286">
        <f t="shared" si="24"/>
        <v>0</v>
      </c>
      <c r="H51" s="21">
        <f>ROUND($H$27,0)</f>
        <v>749</v>
      </c>
      <c r="I51" s="286">
        <f>$I$27</f>
        <v>0</v>
      </c>
      <c r="J51" s="286">
        <f t="shared" ref="J51" si="25">J$27</f>
        <v>0</v>
      </c>
      <c r="K51" s="21">
        <f>$K$27</f>
        <v>377.77777777777777</v>
      </c>
      <c r="L51" s="21">
        <f>$L$27</f>
        <v>0</v>
      </c>
      <c r="M51" s="21">
        <f>$M$27</f>
        <v>111.11111111111111</v>
      </c>
      <c r="N51" s="25">
        <f>$N$27</f>
        <v>0</v>
      </c>
      <c r="O51" s="286">
        <f>$O$27</f>
        <v>162.22059069444447</v>
      </c>
      <c r="P51" s="286">
        <f t="shared" ref="P51" si="26">P$27</f>
        <v>0</v>
      </c>
      <c r="Q51" s="16">
        <f>$Q$27</f>
        <v>0</v>
      </c>
      <c r="R51" s="280">
        <f>$R$27</f>
        <v>2.8888888888888893</v>
      </c>
      <c r="S51" s="280">
        <f t="shared" ref="S51" si="27">S$27</f>
        <v>0</v>
      </c>
      <c r="T51" s="289">
        <f>$T$27</f>
        <v>0</v>
      </c>
      <c r="U51" s="289">
        <f t="shared" ref="U51" si="28">U$27</f>
        <v>0</v>
      </c>
      <c r="V51" s="5"/>
    </row>
    <row r="52" spans="2:22" s="3" customFormat="1">
      <c r="B52" s="286">
        <f ca="1">$B$27+($B$27*1*(0.5-RAND()))/100</f>
        <v>0</v>
      </c>
      <c r="C52" s="286"/>
      <c r="D52" s="21">
        <f ca="1">$D$27+($D$27*1*(0.5-RAND()))/100</f>
        <v>847.42248742652248</v>
      </c>
      <c r="E52" s="286">
        <f ca="1">$E$27+($E$27*1*(0.5-RAND()))/100</f>
        <v>479.68634938940659</v>
      </c>
      <c r="F52" s="286"/>
      <c r="G52" s="286"/>
      <c r="H52" s="21">
        <f ca="1">$H$27+($H$27*1*(0.5-RAND()))/100</f>
        <v>745.99838312198551</v>
      </c>
      <c r="I52" s="286">
        <f ca="1">$I$27+($I$27*1*(0.5-RAND()))/100</f>
        <v>0</v>
      </c>
      <c r="J52" s="286"/>
      <c r="K52" s="21">
        <f ca="1">$K$27+($K$27*2*(0.5-RAND()))/100</f>
        <v>378.78204697192615</v>
      </c>
      <c r="L52" s="21">
        <f ca="1">$L$27+($L$27*2*(0.5-RAND()))/100</f>
        <v>0</v>
      </c>
      <c r="M52" s="21">
        <f ca="1">$M$27+($M$27*2*(0.5-RAND()))/100</f>
        <v>110.49942778540769</v>
      </c>
      <c r="N52" s="25">
        <v>0</v>
      </c>
      <c r="O52" s="286">
        <f ca="1">$O$27+($O$27*(Load!$BM$46+Load!$BO$46*RAND()))/100</f>
        <v>165.36929823514686</v>
      </c>
      <c r="P52" s="286"/>
      <c r="Q52" s="16">
        <v>0</v>
      </c>
      <c r="R52" s="280">
        <f ca="1">$R$27+($R$27*2*(0.5-RAND()))/100</f>
        <v>2.9019946783976782</v>
      </c>
      <c r="S52" s="280"/>
      <c r="T52" s="290">
        <v>0</v>
      </c>
      <c r="U52" s="290"/>
      <c r="V52" s="5"/>
    </row>
    <row r="53" spans="2:22" s="3" customFormat="1">
      <c r="B53" s="280">
        <f>$B$25</f>
        <v>0</v>
      </c>
      <c r="C53" s="280"/>
      <c r="D53" s="17">
        <f>$D$25</f>
        <v>2</v>
      </c>
      <c r="E53" s="280">
        <f>$E$25</f>
        <v>1</v>
      </c>
      <c r="F53" s="280"/>
      <c r="G53" s="280"/>
      <c r="H53" s="18">
        <f>$H$25</f>
        <v>1</v>
      </c>
      <c r="I53" s="280">
        <v>0</v>
      </c>
      <c r="J53" s="280"/>
      <c r="K53" s="14"/>
      <c r="L53" s="14"/>
      <c r="M53" s="14"/>
      <c r="N53" s="14"/>
      <c r="O53" s="293">
        <v>0</v>
      </c>
      <c r="P53" s="293"/>
      <c r="Q53" s="14"/>
      <c r="R53" s="14"/>
      <c r="S53" s="14"/>
      <c r="T53" s="14"/>
      <c r="U53" s="14"/>
      <c r="V53" s="5"/>
    </row>
    <row r="54" spans="2:22" s="3" customFormat="1">
      <c r="B54" s="280">
        <f>$B$26</f>
        <v>0</v>
      </c>
      <c r="C54" s="280"/>
      <c r="D54" s="124">
        <f>$D$26</f>
        <v>4.5</v>
      </c>
      <c r="E54" s="280">
        <f>$E$26</f>
        <v>0</v>
      </c>
      <c r="F54" s="280"/>
      <c r="G54" s="280"/>
      <c r="H54" s="16">
        <f>$H$26</f>
        <v>0</v>
      </c>
      <c r="I54" s="280">
        <v>0</v>
      </c>
      <c r="J54" s="280"/>
      <c r="K54" s="14"/>
      <c r="L54" s="14"/>
      <c r="M54" s="14"/>
      <c r="N54" s="13" t="s">
        <v>46</v>
      </c>
      <c r="O54" s="279">
        <v>0</v>
      </c>
      <c r="P54" s="279"/>
      <c r="Q54" s="14"/>
      <c r="R54" s="14"/>
      <c r="S54" s="14"/>
      <c r="T54" s="14"/>
      <c r="U54" s="14"/>
      <c r="V54" s="5"/>
    </row>
    <row r="55" spans="2:22" s="3" customFormat="1">
      <c r="B55" s="286">
        <f>ROUND($B$27,0)</f>
        <v>0</v>
      </c>
      <c r="C55" s="286"/>
      <c r="D55" s="21">
        <f>ROUND(($D$27),0)</f>
        <v>847</v>
      </c>
      <c r="E55" s="286">
        <f>ROUND($E$27,0)</f>
        <v>479</v>
      </c>
      <c r="F55" s="286">
        <f t="shared" ref="F55:G55" si="29">F$27</f>
        <v>0</v>
      </c>
      <c r="G55" s="286">
        <f t="shared" si="29"/>
        <v>0</v>
      </c>
      <c r="H55" s="21">
        <f>ROUND($H$27,0)</f>
        <v>749</v>
      </c>
      <c r="I55" s="286">
        <f>$I$27</f>
        <v>0</v>
      </c>
      <c r="J55" s="286">
        <f t="shared" ref="J55" si="30">J$27</f>
        <v>0</v>
      </c>
      <c r="K55" s="21">
        <f>$K$27</f>
        <v>377.77777777777777</v>
      </c>
      <c r="L55" s="21">
        <f>$L$27</f>
        <v>0</v>
      </c>
      <c r="M55" s="21">
        <f>$M$27</f>
        <v>111.11111111111111</v>
      </c>
      <c r="N55" s="25">
        <f>$N$27</f>
        <v>0</v>
      </c>
      <c r="O55" s="286">
        <f>$O$27</f>
        <v>162.22059069444447</v>
      </c>
      <c r="P55" s="286">
        <f t="shared" ref="P55" si="31">P$27</f>
        <v>0</v>
      </c>
      <c r="Q55" s="16">
        <f>$Q$27</f>
        <v>0</v>
      </c>
      <c r="R55" s="280">
        <f>$R$27</f>
        <v>2.8888888888888893</v>
      </c>
      <c r="S55" s="280">
        <f t="shared" ref="S55" si="32">S$27</f>
        <v>0</v>
      </c>
      <c r="T55" s="289">
        <f>$T$27</f>
        <v>0</v>
      </c>
      <c r="U55" s="289">
        <f t="shared" ref="U55" si="33">U$27</f>
        <v>0</v>
      </c>
      <c r="V55" s="5"/>
    </row>
    <row r="56" spans="2:22" s="3" customFormat="1">
      <c r="B56" s="286">
        <f ca="1">$B$27+($B$27*1*(0.5-RAND()))/100</f>
        <v>0</v>
      </c>
      <c r="C56" s="286"/>
      <c r="D56" s="21">
        <f ca="1">$D$27+($D$27*1*(0.5-RAND()))/100</f>
        <v>849.23444956391143</v>
      </c>
      <c r="E56" s="286">
        <f ca="1">$E$27+($E$27*1*(0.5-RAND()))/100</f>
        <v>479.79999384946404</v>
      </c>
      <c r="F56" s="286"/>
      <c r="G56" s="286"/>
      <c r="H56" s="21">
        <f ca="1">$H$27+($H$27*1*(0.5-RAND()))/100</f>
        <v>747.19895701637245</v>
      </c>
      <c r="I56" s="286">
        <f ca="1">$I$27+($I$27*1*(0.5-RAND()))/100</f>
        <v>0</v>
      </c>
      <c r="J56" s="286"/>
      <c r="K56" s="21">
        <f ca="1">$K$27+($K$27*2*(0.5-RAND()))/100</f>
        <v>380.11195413429516</v>
      </c>
      <c r="L56" s="21">
        <f ca="1">$L$27+($L$27*2*(0.5-RAND()))/100</f>
        <v>0</v>
      </c>
      <c r="M56" s="21">
        <f ca="1">$M$27+($M$27*2*(0.5-RAND()))/100</f>
        <v>111.38636921955357</v>
      </c>
      <c r="N56" s="25">
        <v>0</v>
      </c>
      <c r="O56" s="286">
        <f ca="1">$O$27+($O$27*(Load!$BM$46+Load!$BO$46*RAND()))/100</f>
        <v>163.92023467213571</v>
      </c>
      <c r="P56" s="286"/>
      <c r="Q56" s="16">
        <v>0</v>
      </c>
      <c r="R56" s="280">
        <f ca="1">$R$27+($R$27*2*(0.5-RAND()))/100</f>
        <v>2.9083555002200705</v>
      </c>
      <c r="S56" s="280"/>
      <c r="T56" s="290">
        <v>0</v>
      </c>
      <c r="U56" s="290"/>
      <c r="V56" s="5"/>
    </row>
    <row r="57" spans="2:22" s="3" customFormat="1">
      <c r="B57" s="280">
        <f>$B$25</f>
        <v>0</v>
      </c>
      <c r="C57" s="280"/>
      <c r="D57" s="17">
        <f>$D$25</f>
        <v>2</v>
      </c>
      <c r="E57" s="280">
        <f>$E$25</f>
        <v>1</v>
      </c>
      <c r="F57" s="280"/>
      <c r="G57" s="280"/>
      <c r="H57" s="18">
        <f>$H$25</f>
        <v>1</v>
      </c>
      <c r="I57" s="280">
        <v>0</v>
      </c>
      <c r="J57" s="280"/>
      <c r="K57" s="14"/>
      <c r="L57" s="14"/>
      <c r="M57" s="14"/>
      <c r="N57" s="14"/>
      <c r="O57" s="293">
        <v>0</v>
      </c>
      <c r="P57" s="293"/>
      <c r="Q57" s="14"/>
      <c r="R57" s="14"/>
      <c r="S57" s="14"/>
      <c r="T57" s="14"/>
      <c r="U57" s="14"/>
      <c r="V57" s="5"/>
    </row>
    <row r="58" spans="2:22" s="3" customFormat="1">
      <c r="B58" s="280">
        <f>$B$26</f>
        <v>0</v>
      </c>
      <c r="C58" s="280"/>
      <c r="D58" s="124">
        <f>$D$26</f>
        <v>4.5</v>
      </c>
      <c r="E58" s="280">
        <f>$E$26</f>
        <v>0</v>
      </c>
      <c r="F58" s="280"/>
      <c r="G58" s="280"/>
      <c r="H58" s="16">
        <f>$H$26</f>
        <v>0</v>
      </c>
      <c r="I58" s="280">
        <v>0</v>
      </c>
      <c r="J58" s="280"/>
      <c r="K58" s="14"/>
      <c r="L58" s="14"/>
      <c r="M58" s="14"/>
      <c r="N58" s="13" t="s">
        <v>46</v>
      </c>
      <c r="O58" s="279">
        <v>0</v>
      </c>
      <c r="P58" s="279"/>
      <c r="Q58" s="14"/>
      <c r="R58" s="14"/>
      <c r="S58" s="14"/>
      <c r="T58" s="14"/>
      <c r="U58" s="14"/>
      <c r="V58" s="5"/>
    </row>
    <row r="59" spans="2:22" s="3" customFormat="1">
      <c r="B59" s="286">
        <f>ROUND($B$27,0)</f>
        <v>0</v>
      </c>
      <c r="C59" s="286"/>
      <c r="D59" s="21">
        <f>ROUND(($D$27),0)</f>
        <v>847</v>
      </c>
      <c r="E59" s="286">
        <f>ROUND($E$27,0)</f>
        <v>479</v>
      </c>
      <c r="F59" s="286">
        <f t="shared" ref="F59:G59" si="34">F$27</f>
        <v>0</v>
      </c>
      <c r="G59" s="286">
        <f t="shared" si="34"/>
        <v>0</v>
      </c>
      <c r="H59" s="21">
        <f>ROUND($H$27,0)</f>
        <v>749</v>
      </c>
      <c r="I59" s="286">
        <f>$I$27</f>
        <v>0</v>
      </c>
      <c r="J59" s="286">
        <f t="shared" ref="J59" si="35">J$27</f>
        <v>0</v>
      </c>
      <c r="K59" s="21">
        <f>$K$27</f>
        <v>377.77777777777777</v>
      </c>
      <c r="L59" s="21">
        <f>$L$27</f>
        <v>0</v>
      </c>
      <c r="M59" s="21">
        <f>$M$27</f>
        <v>111.11111111111111</v>
      </c>
      <c r="N59" s="25">
        <f>$N$27</f>
        <v>0</v>
      </c>
      <c r="O59" s="286">
        <f>$O$27</f>
        <v>162.22059069444447</v>
      </c>
      <c r="P59" s="286">
        <f t="shared" ref="P59" si="36">P$27</f>
        <v>0</v>
      </c>
      <c r="Q59" s="16">
        <f>$Q$27</f>
        <v>0</v>
      </c>
      <c r="R59" s="280">
        <f>$R$27</f>
        <v>2.8888888888888893</v>
      </c>
      <c r="S59" s="280">
        <f t="shared" ref="S59" si="37">S$27</f>
        <v>0</v>
      </c>
      <c r="T59" s="289">
        <f>$T$27</f>
        <v>0</v>
      </c>
      <c r="U59" s="289">
        <f t="shared" ref="U59" si="38">U$27</f>
        <v>0</v>
      </c>
      <c r="V59" s="5"/>
    </row>
    <row r="60" spans="2:22" s="3" customFormat="1">
      <c r="B60" s="286">
        <f ca="1">$B$27+($B$27*1*(0.5-RAND()))/100</f>
        <v>0</v>
      </c>
      <c r="C60" s="286"/>
      <c r="D60" s="21">
        <f ca="1">$D$27+($D$27*1*(0.5-RAND()))/100</f>
        <v>843.74548192772238</v>
      </c>
      <c r="E60" s="286">
        <f ca="1">$E$27+($E$27*1*(0.5-RAND()))/100</f>
        <v>479.61537592846946</v>
      </c>
      <c r="F60" s="286"/>
      <c r="G60" s="286"/>
      <c r="H60" s="21">
        <f ca="1">$H$27+($H$27*1*(0.5-RAND()))/100</f>
        <v>748.93661264787852</v>
      </c>
      <c r="I60" s="286">
        <f ca="1">$I$27+($I$27*1*(0.5-RAND()))/100</f>
        <v>0</v>
      </c>
      <c r="J60" s="286"/>
      <c r="K60" s="21">
        <f ca="1">$K$27+($K$27*2*(0.5-RAND()))/100</f>
        <v>375.59548731771025</v>
      </c>
      <c r="L60" s="21">
        <f ca="1">$L$27+($L$27*2*(0.5-RAND()))/100</f>
        <v>0</v>
      </c>
      <c r="M60" s="21">
        <f ca="1">$M$27+($M$27*2*(0.5-RAND()))/100</f>
        <v>110.49843998995169</v>
      </c>
      <c r="N60" s="25">
        <v>0</v>
      </c>
      <c r="O60" s="286">
        <f ca="1">$O$27+($O$27*(Load!$BM$46+Load!$BO$46*RAND()))/100</f>
        <v>161.79247717524558</v>
      </c>
      <c r="P60" s="286"/>
      <c r="Q60" s="16">
        <v>0</v>
      </c>
      <c r="R60" s="280">
        <f ca="1">$R$27+($R$27*2*(0.5-RAND()))/100</f>
        <v>2.9059630772871885</v>
      </c>
      <c r="S60" s="280"/>
      <c r="T60" s="290">
        <v>0</v>
      </c>
      <c r="U60" s="290"/>
      <c r="V60" s="5"/>
    </row>
    <row r="61" spans="2:22" s="4" customFormat="1" ht="18" customHeight="1">
      <c r="B61" s="22" t="s">
        <v>47</v>
      </c>
      <c r="C61" s="22"/>
      <c r="D61" s="23"/>
      <c r="E61" s="24"/>
      <c r="F61" s="24"/>
      <c r="G61" s="24"/>
      <c r="H61" s="23"/>
      <c r="I61" s="24"/>
      <c r="J61" s="24"/>
      <c r="K61" s="23"/>
      <c r="L61" s="23"/>
      <c r="M61" s="23"/>
      <c r="N61" s="28" t="s">
        <v>48</v>
      </c>
      <c r="O61" s="288">
        <v>0</v>
      </c>
      <c r="P61" s="288"/>
      <c r="Q61" s="23"/>
      <c r="R61" s="23"/>
      <c r="S61" s="23"/>
      <c r="T61" s="23"/>
      <c r="U61" s="23"/>
    </row>
    <row r="62" spans="2:22" s="3" customFormat="1" ht="17.5" customHeight="1">
      <c r="B62" s="285">
        <f>B51+B47+B43+B39+B35+B31+B27+B55+B59</f>
        <v>0</v>
      </c>
      <c r="C62" s="285"/>
      <c r="D62" s="21">
        <f>ROUND((D51+D47+D43+D39+D35+D31+D27+D55+D59),0)</f>
        <v>7623</v>
      </c>
      <c r="E62" s="286">
        <f>E51+E47+E43+E39+E35+E31+E27+E55+E59</f>
        <v>4310.5483333333332</v>
      </c>
      <c r="F62" s="286"/>
      <c r="G62" s="286"/>
      <c r="H62" s="21">
        <f>H51+H47+H43+H39+H35+H31+H27+H55+H59</f>
        <v>6741.175666666667</v>
      </c>
      <c r="I62" s="286">
        <f>I51+I47+I43+I39+I35+I31+I27+I55+I59</f>
        <v>0</v>
      </c>
      <c r="J62" s="286"/>
      <c r="K62" s="21">
        <f>K51+K47+K43+K39+K35+K31+K27+K55+K59</f>
        <v>3400</v>
      </c>
      <c r="L62" s="21">
        <f>L51+L47+L43+L39+L35+L31+L27+L55+L59</f>
        <v>0</v>
      </c>
      <c r="M62" s="21">
        <f>M51+M47+M43+M39+M35+M31+M27+M55+M59</f>
        <v>999.99999999999989</v>
      </c>
      <c r="N62" s="21">
        <v>0</v>
      </c>
      <c r="O62" s="287">
        <f>O51+O47+O43+O39+O35+O31+O27+O55+O59</f>
        <v>1459.9853162500003</v>
      </c>
      <c r="P62" s="287"/>
      <c r="Q62" s="35">
        <f>Q51+Q47+Q43+Q39+Q35+Q31+Q27+Q55+Q59</f>
        <v>0</v>
      </c>
      <c r="R62" s="284">
        <f>R51+R47+R43+R39+R35+R31+R27+R55+R59</f>
        <v>26.000000000000004</v>
      </c>
      <c r="S62" s="284"/>
      <c r="T62" s="284">
        <f>T51+T47+T43+T39+T35+T31+T27+T55+T59</f>
        <v>0</v>
      </c>
      <c r="U62" s="284"/>
    </row>
    <row r="63" spans="2:22" s="3" customFormat="1" ht="22" customHeight="1">
      <c r="B63" s="2" t="s">
        <v>49</v>
      </c>
      <c r="C63" s="5"/>
      <c r="D63" s="14"/>
      <c r="E63" s="17"/>
      <c r="F63" s="17"/>
      <c r="G63" s="17"/>
      <c r="H63" s="14"/>
      <c r="I63" s="17"/>
      <c r="J63" s="17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</row>
    <row r="64" spans="2:22" s="3" customFormat="1" ht="17.5" customHeight="1">
      <c r="B64" s="285">
        <f ca="1">B52+B48+B44+B40+B36+B32+B28+B56+B60</f>
        <v>0</v>
      </c>
      <c r="C64" s="285"/>
      <c r="D64" s="21">
        <f ca="1">D52+D48+D44+D40+D36+D32+D28+D56+D60</f>
        <v>7616.2701449330798</v>
      </c>
      <c r="E64" s="286">
        <f ca="1">E52+E48+E44+E40+E36+E32+E28+E56+E60</f>
        <v>4315.3231356292135</v>
      </c>
      <c r="F64" s="286"/>
      <c r="G64" s="286"/>
      <c r="H64" s="21">
        <f ca="1">H52+H48+H44+H40+H36+H32+H28+H56+H60</f>
        <v>6738.2313920447104</v>
      </c>
      <c r="I64" s="286">
        <f ca="1">I52+I48+I44+I40+I36+I32+I28+I56+I60</f>
        <v>0</v>
      </c>
      <c r="J64" s="286"/>
      <c r="K64" s="21">
        <f ca="1">K52+K48+K44+K40+K36+K32+K28+K56+K60</f>
        <v>3396.4682512947011</v>
      </c>
      <c r="L64" s="21">
        <f ca="1">L52+L48+L44+L40+L36+L32+L28+L56+L60</f>
        <v>0</v>
      </c>
      <c r="M64" s="21">
        <f ca="1">M52+M48+M44+M40+M36+M32+M28+M56+M60</f>
        <v>999.27078515032599</v>
      </c>
      <c r="N64" s="21">
        <f ca="1">N52+N48+N44+N40+N36+N32+N28+N56+N60</f>
        <v>0</v>
      </c>
      <c r="O64" s="287">
        <f ca="1">O52+O48+O44+O40+O36+O32+O28+O56+O60</f>
        <v>1458.5231262009167</v>
      </c>
      <c r="P64" s="287"/>
      <c r="Q64" s="35">
        <f>Q52+Q48+Q44+Q40+Q36+Q32+Q28+Q56+Q60</f>
        <v>0</v>
      </c>
      <c r="R64" s="284">
        <f ca="1">R52+R48+R44+R40+R36+R32+R28+R56+R60</f>
        <v>26.0815899188486</v>
      </c>
      <c r="S64" s="284"/>
      <c r="T64" s="284">
        <f>T52+T48+T44+T40+T36+T32+T28+T56+T60</f>
        <v>0</v>
      </c>
      <c r="U64" s="284">
        <f t="shared" ref="U64" si="39">U52+U48+U44+U40+U36+U32+U28</f>
        <v>0</v>
      </c>
    </row>
    <row r="65" spans="2:21" s="3" customFormat="1" ht="2.5" customHeight="1">
      <c r="B65" s="283"/>
      <c r="C65" s="283"/>
      <c r="D65" s="283"/>
      <c r="E65" s="283"/>
      <c r="F65" s="283"/>
      <c r="G65" s="283"/>
      <c r="H65" s="283"/>
      <c r="I65" s="283"/>
      <c r="J65" s="283"/>
      <c r="K65" s="283"/>
      <c r="L65" s="283"/>
      <c r="M65" s="283"/>
      <c r="N65" s="283"/>
      <c r="O65" s="283"/>
      <c r="P65" s="283"/>
      <c r="Q65" s="283"/>
      <c r="R65" s="283"/>
      <c r="S65" s="283"/>
      <c r="T65" s="283"/>
      <c r="U65" s="283"/>
    </row>
    <row r="66" spans="2:21" s="3" customFormat="1" ht="9.65" customHeight="1">
      <c r="B66" s="5"/>
      <c r="C66" s="5"/>
      <c r="D66" s="26"/>
      <c r="E66" s="17"/>
      <c r="F66" s="17"/>
      <c r="G66" s="17"/>
      <c r="H66" s="26"/>
      <c r="I66" s="17"/>
      <c r="J66" s="17"/>
      <c r="K66" s="26"/>
      <c r="L66" s="26"/>
      <c r="M66" s="26"/>
      <c r="N66" s="26"/>
      <c r="O66" s="26"/>
      <c r="P66" s="26"/>
      <c r="Q66" s="36"/>
      <c r="S66" s="26"/>
      <c r="T66" s="26"/>
      <c r="U66" s="26"/>
    </row>
    <row r="67" spans="2:21" s="3" customFormat="1">
      <c r="B67" s="5"/>
      <c r="C67" s="5"/>
      <c r="D67" s="26"/>
      <c r="E67" s="17"/>
      <c r="F67" s="17"/>
      <c r="G67" s="17"/>
      <c r="H67" s="26"/>
      <c r="I67" s="17"/>
      <c r="J67" s="17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</row>
    <row r="68" spans="2:21" s="3" customFormat="1">
      <c r="B68" s="5"/>
      <c r="C68" s="5"/>
      <c r="D68" s="26"/>
      <c r="E68" s="17"/>
      <c r="F68" s="17"/>
      <c r="G68" s="17"/>
      <c r="H68" s="26"/>
      <c r="I68" s="17"/>
      <c r="J68" s="17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</row>
    <row r="69" spans="2:21" s="3" customFormat="1">
      <c r="B69" s="5"/>
      <c r="C69" s="5"/>
      <c r="D69" s="26"/>
      <c r="E69" s="17"/>
      <c r="F69" s="17"/>
      <c r="G69" s="17"/>
      <c r="H69" s="26"/>
      <c r="I69" s="17"/>
      <c r="J69" s="17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</row>
    <row r="70" spans="2:21" s="3" customFormat="1">
      <c r="B70" s="5"/>
      <c r="C70" s="5"/>
      <c r="D70" s="26"/>
      <c r="E70" s="17"/>
      <c r="F70" s="17"/>
      <c r="G70" s="17"/>
      <c r="H70" s="26"/>
      <c r="I70" s="17"/>
      <c r="J70" s="17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</row>
    <row r="71" spans="2:21" s="3" customFormat="1">
      <c r="B71" s="279"/>
      <c r="C71" s="279"/>
      <c r="D71" s="26"/>
      <c r="E71" s="280"/>
      <c r="F71" s="280"/>
      <c r="G71" s="280"/>
      <c r="H71" s="26"/>
      <c r="I71" s="280"/>
      <c r="J71" s="280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</row>
    <row r="72" spans="2:21" s="3" customFormat="1">
      <c r="B72" s="279"/>
      <c r="C72" s="279"/>
      <c r="D72" s="26"/>
      <c r="E72" s="280"/>
      <c r="F72" s="280"/>
      <c r="G72" s="280"/>
      <c r="H72" s="26"/>
      <c r="I72" s="280"/>
      <c r="J72" s="280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</row>
    <row r="73" spans="2:21" s="3" customFormat="1">
      <c r="B73" s="279"/>
      <c r="C73" s="279"/>
      <c r="D73" s="26"/>
      <c r="E73" s="26"/>
      <c r="F73" s="26"/>
      <c r="G73" s="26"/>
      <c r="H73" s="26"/>
      <c r="I73" s="280"/>
      <c r="J73" s="280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</row>
    <row r="74" spans="2:21" s="3" customFormat="1">
      <c r="B74" s="279"/>
      <c r="C74" s="279"/>
      <c r="D74" s="26"/>
      <c r="E74" s="26"/>
      <c r="F74" s="26"/>
      <c r="G74" s="26"/>
      <c r="H74" s="26"/>
      <c r="I74" s="280"/>
      <c r="J74" s="280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</row>
    <row r="75" spans="2:21" s="3" customFormat="1">
      <c r="B75" s="279"/>
      <c r="C75" s="279"/>
      <c r="D75" s="26"/>
      <c r="E75" s="26"/>
      <c r="F75" s="26"/>
      <c r="G75" s="26"/>
      <c r="H75" s="26"/>
      <c r="I75" s="280"/>
      <c r="J75" s="280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</row>
    <row r="76" spans="2:21" s="3" customFormat="1">
      <c r="B76" s="279"/>
      <c r="C76" s="279"/>
      <c r="D76" s="26"/>
      <c r="E76" s="26"/>
      <c r="F76" s="26"/>
      <c r="G76" s="26"/>
      <c r="H76" s="26"/>
      <c r="I76" s="280"/>
      <c r="J76" s="280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</row>
    <row r="77" spans="2:21" s="3" customFormat="1">
      <c r="B77" s="26"/>
      <c r="C77" s="26"/>
      <c r="D77" s="26"/>
      <c r="E77" s="26"/>
      <c r="F77" s="26"/>
      <c r="G77" s="26"/>
      <c r="H77" s="26"/>
      <c r="I77" s="281"/>
      <c r="J77" s="281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</row>
    <row r="78" spans="2:21"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</row>
    <row r="79" spans="2:21"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</row>
    <row r="80" spans="2:21"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</row>
    <row r="81" spans="2:21"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</row>
    <row r="82" spans="2:21"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</row>
    <row r="83" spans="2:21"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</row>
    <row r="84" spans="2:21"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</row>
    <row r="85" spans="2:21"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</row>
    <row r="86" spans="2:21"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</row>
    <row r="87" spans="2:21"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</row>
    <row r="88" spans="2:21"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</row>
  </sheetData>
  <sheetProtection selectLockedCells="1"/>
  <mergeCells count="234">
    <mergeCell ref="G9:J9"/>
    <mergeCell ref="G10:J10"/>
    <mergeCell ref="J11:K11"/>
    <mergeCell ref="B20:J20"/>
    <mergeCell ref="K20:M20"/>
    <mergeCell ref="N20:P20"/>
    <mergeCell ref="B2:U2"/>
    <mergeCell ref="E3:Q4"/>
    <mergeCell ref="B7:U7"/>
    <mergeCell ref="G8:J8"/>
    <mergeCell ref="P8:R8"/>
    <mergeCell ref="S8:T8"/>
    <mergeCell ref="R23:S23"/>
    <mergeCell ref="T23:U23"/>
    <mergeCell ref="R20:U20"/>
    <mergeCell ref="B21:C21"/>
    <mergeCell ref="E21:G21"/>
    <mergeCell ref="I21:J21"/>
    <mergeCell ref="O21:P21"/>
    <mergeCell ref="R21:S21"/>
    <mergeCell ref="T21:U21"/>
    <mergeCell ref="B25:C25"/>
    <mergeCell ref="E25:G25"/>
    <mergeCell ref="I25:J25"/>
    <mergeCell ref="O25:P25"/>
    <mergeCell ref="B26:C26"/>
    <mergeCell ref="E26:G26"/>
    <mergeCell ref="I26:J26"/>
    <mergeCell ref="O26:P26"/>
    <mergeCell ref="B23:C23"/>
    <mergeCell ref="E23:G23"/>
    <mergeCell ref="I23:J23"/>
    <mergeCell ref="O23:P23"/>
    <mergeCell ref="B28:C28"/>
    <mergeCell ref="E28:G28"/>
    <mergeCell ref="I28:J28"/>
    <mergeCell ref="O28:P28"/>
    <mergeCell ref="R28:S28"/>
    <mergeCell ref="T28:U28"/>
    <mergeCell ref="B27:C27"/>
    <mergeCell ref="E27:G27"/>
    <mergeCell ref="I27:J27"/>
    <mergeCell ref="O27:P27"/>
    <mergeCell ref="R27:S27"/>
    <mergeCell ref="T27:U27"/>
    <mergeCell ref="R32:S32"/>
    <mergeCell ref="T32:U32"/>
    <mergeCell ref="B31:C31"/>
    <mergeCell ref="E31:G31"/>
    <mergeCell ref="I31:J31"/>
    <mergeCell ref="O31:P31"/>
    <mergeCell ref="R31:S31"/>
    <mergeCell ref="T31:U31"/>
    <mergeCell ref="B29:C29"/>
    <mergeCell ref="E29:G29"/>
    <mergeCell ref="I29:J29"/>
    <mergeCell ref="O29:P29"/>
    <mergeCell ref="B30:C30"/>
    <mergeCell ref="E30:G30"/>
    <mergeCell ref="I30:J30"/>
    <mergeCell ref="O30:P30"/>
    <mergeCell ref="B33:C33"/>
    <mergeCell ref="E33:G33"/>
    <mergeCell ref="I33:J33"/>
    <mergeCell ref="O33:P33"/>
    <mergeCell ref="B34:C34"/>
    <mergeCell ref="E34:G34"/>
    <mergeCell ref="I34:J34"/>
    <mergeCell ref="O34:P34"/>
    <mergeCell ref="B32:C32"/>
    <mergeCell ref="E32:G32"/>
    <mergeCell ref="I32:J32"/>
    <mergeCell ref="O32:P32"/>
    <mergeCell ref="B36:C36"/>
    <mergeCell ref="E36:G36"/>
    <mergeCell ref="I36:J36"/>
    <mergeCell ref="O36:P36"/>
    <mergeCell ref="R36:S36"/>
    <mergeCell ref="T36:U36"/>
    <mergeCell ref="B35:C35"/>
    <mergeCell ref="E35:G35"/>
    <mergeCell ref="I35:J35"/>
    <mergeCell ref="O35:P35"/>
    <mergeCell ref="R35:S35"/>
    <mergeCell ref="T35:U35"/>
    <mergeCell ref="R40:S40"/>
    <mergeCell ref="T40:U40"/>
    <mergeCell ref="B39:C39"/>
    <mergeCell ref="E39:G39"/>
    <mergeCell ref="I39:J39"/>
    <mergeCell ref="O39:P39"/>
    <mergeCell ref="R39:S39"/>
    <mergeCell ref="T39:U39"/>
    <mergeCell ref="B37:C37"/>
    <mergeCell ref="E37:G37"/>
    <mergeCell ref="I37:J37"/>
    <mergeCell ref="O37:P37"/>
    <mergeCell ref="B38:C38"/>
    <mergeCell ref="E38:G38"/>
    <mergeCell ref="I38:J38"/>
    <mergeCell ref="O38:P38"/>
    <mergeCell ref="B41:C41"/>
    <mergeCell ref="E41:G41"/>
    <mergeCell ref="I41:J41"/>
    <mergeCell ref="O41:P41"/>
    <mergeCell ref="B42:C42"/>
    <mergeCell ref="E42:G42"/>
    <mergeCell ref="I42:J42"/>
    <mergeCell ref="O42:P42"/>
    <mergeCell ref="B40:C40"/>
    <mergeCell ref="E40:G40"/>
    <mergeCell ref="I40:J40"/>
    <mergeCell ref="O40:P40"/>
    <mergeCell ref="B44:C44"/>
    <mergeCell ref="E44:G44"/>
    <mergeCell ref="I44:J44"/>
    <mergeCell ref="O44:P44"/>
    <mergeCell ref="R44:S44"/>
    <mergeCell ref="T44:U44"/>
    <mergeCell ref="B43:C43"/>
    <mergeCell ref="E43:G43"/>
    <mergeCell ref="I43:J43"/>
    <mergeCell ref="O43:P43"/>
    <mergeCell ref="R43:S43"/>
    <mergeCell ref="T43:U43"/>
    <mergeCell ref="R48:S48"/>
    <mergeCell ref="T48:U48"/>
    <mergeCell ref="B47:C47"/>
    <mergeCell ref="E47:G47"/>
    <mergeCell ref="I47:J47"/>
    <mergeCell ref="O47:P47"/>
    <mergeCell ref="R47:S47"/>
    <mergeCell ref="T47:U47"/>
    <mergeCell ref="B45:C45"/>
    <mergeCell ref="E45:G45"/>
    <mergeCell ref="I45:J45"/>
    <mergeCell ref="O45:P45"/>
    <mergeCell ref="B46:C46"/>
    <mergeCell ref="E46:G46"/>
    <mergeCell ref="I46:J46"/>
    <mergeCell ref="O46:P46"/>
    <mergeCell ref="B49:C49"/>
    <mergeCell ref="E49:G49"/>
    <mergeCell ref="I49:J49"/>
    <mergeCell ref="O49:P49"/>
    <mergeCell ref="B50:C50"/>
    <mergeCell ref="E50:G50"/>
    <mergeCell ref="I50:J50"/>
    <mergeCell ref="O50:P50"/>
    <mergeCell ref="B48:C48"/>
    <mergeCell ref="E48:G48"/>
    <mergeCell ref="I48:J48"/>
    <mergeCell ref="O48:P48"/>
    <mergeCell ref="B52:C52"/>
    <mergeCell ref="E52:G52"/>
    <mergeCell ref="I52:J52"/>
    <mergeCell ref="O52:P52"/>
    <mergeCell ref="R52:S52"/>
    <mergeCell ref="T52:U52"/>
    <mergeCell ref="B51:C51"/>
    <mergeCell ref="E51:G51"/>
    <mergeCell ref="I51:J51"/>
    <mergeCell ref="O51:P51"/>
    <mergeCell ref="R51:S51"/>
    <mergeCell ref="T51:U51"/>
    <mergeCell ref="R55:S55"/>
    <mergeCell ref="T55:U55"/>
    <mergeCell ref="B53:C53"/>
    <mergeCell ref="E53:G53"/>
    <mergeCell ref="I53:J53"/>
    <mergeCell ref="O53:P53"/>
    <mergeCell ref="B54:C54"/>
    <mergeCell ref="E54:G54"/>
    <mergeCell ref="I54:J54"/>
    <mergeCell ref="O54:P54"/>
    <mergeCell ref="E58:G58"/>
    <mergeCell ref="I58:J58"/>
    <mergeCell ref="O58:P58"/>
    <mergeCell ref="B59:C59"/>
    <mergeCell ref="E59:G59"/>
    <mergeCell ref="I59:J59"/>
    <mergeCell ref="O59:P59"/>
    <mergeCell ref="B55:C55"/>
    <mergeCell ref="E55:G55"/>
    <mergeCell ref="I55:J55"/>
    <mergeCell ref="O55:P55"/>
    <mergeCell ref="T62:U62"/>
    <mergeCell ref="B64:C64"/>
    <mergeCell ref="E64:G64"/>
    <mergeCell ref="I64:J64"/>
    <mergeCell ref="O64:P64"/>
    <mergeCell ref="R64:S64"/>
    <mergeCell ref="T64:U64"/>
    <mergeCell ref="R62:S62"/>
    <mergeCell ref="B56:C56"/>
    <mergeCell ref="E56:G56"/>
    <mergeCell ref="I56:J56"/>
    <mergeCell ref="O56:P56"/>
    <mergeCell ref="R56:S56"/>
    <mergeCell ref="T56:U56"/>
    <mergeCell ref="R59:S59"/>
    <mergeCell ref="T59:U59"/>
    <mergeCell ref="B60:C60"/>
    <mergeCell ref="E60:G60"/>
    <mergeCell ref="I60:J60"/>
    <mergeCell ref="O60:P60"/>
    <mergeCell ref="R60:S60"/>
    <mergeCell ref="T60:U60"/>
    <mergeCell ref="O57:P57"/>
    <mergeCell ref="B58:C58"/>
    <mergeCell ref="B76:C76"/>
    <mergeCell ref="I76:J76"/>
    <mergeCell ref="O61:P61"/>
    <mergeCell ref="B62:C62"/>
    <mergeCell ref="E62:G62"/>
    <mergeCell ref="I62:J62"/>
    <mergeCell ref="O62:P62"/>
    <mergeCell ref="I77:J77"/>
    <mergeCell ref="B57:C57"/>
    <mergeCell ref="E57:G57"/>
    <mergeCell ref="I57:J57"/>
    <mergeCell ref="B73:C73"/>
    <mergeCell ref="I73:J73"/>
    <mergeCell ref="B74:C74"/>
    <mergeCell ref="I74:J74"/>
    <mergeCell ref="B75:C75"/>
    <mergeCell ref="I75:J75"/>
    <mergeCell ref="B65:U65"/>
    <mergeCell ref="B71:C71"/>
    <mergeCell ref="E71:G71"/>
    <mergeCell ref="I71:J71"/>
    <mergeCell ref="B72:C72"/>
    <mergeCell ref="E72:G72"/>
    <mergeCell ref="I72:J72"/>
  </mergeCells>
  <printOptions horizontalCentered="1"/>
  <pageMargins left="3.9370078740157501E-2" right="3.9370078740157501E-2" top="0.55118110236220497" bottom="0.43307086614173201" header="0.196850393700787" footer="0.31496062992126"/>
  <pageSetup scale="94" orientation="portrait" horizontalDpi="360" verticalDpi="36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D2E43-3F2B-4A9D-B617-DF034675EF8D}">
  <sheetPr codeName="Sheet15"/>
  <dimension ref="B1:V92"/>
  <sheetViews>
    <sheetView showGridLines="0" workbookViewId="0">
      <selection activeCell="X10" sqref="X10"/>
    </sheetView>
  </sheetViews>
  <sheetFormatPr defaultColWidth="8.7265625" defaultRowHeight="14"/>
  <cols>
    <col min="1" max="1" width="8.7265625" style="5"/>
    <col min="2" max="2" width="2.453125" style="5" customWidth="1"/>
    <col min="3" max="3" width="4.7265625" style="5" customWidth="1"/>
    <col min="4" max="4" width="6.453125" style="5" customWidth="1"/>
    <col min="5" max="7" width="2.54296875" style="5" customWidth="1"/>
    <col min="8" max="8" width="7.453125" style="5" customWidth="1"/>
    <col min="9" max="9" width="2.7265625" style="5" customWidth="1"/>
    <col min="10" max="10" width="4.1796875" style="5" customWidth="1"/>
    <col min="11" max="13" width="8.1796875" style="5" customWidth="1"/>
    <col min="14" max="14" width="9.54296875" style="5" customWidth="1"/>
    <col min="15" max="16" width="4.54296875" style="5" customWidth="1"/>
    <col min="17" max="17" width="10.453125" style="5" customWidth="1"/>
    <col min="18" max="19" width="4.7265625" style="5" customWidth="1"/>
    <col min="20" max="20" width="7.1796875" style="5" customWidth="1"/>
    <col min="21" max="21" width="3.26953125" style="5" customWidth="1"/>
    <col min="22" max="22" width="6.453125" style="5" customWidth="1"/>
    <col min="23" max="16384" width="8.7265625" style="5"/>
  </cols>
  <sheetData>
    <row r="1" spans="2:21" ht="8.15" customHeight="1"/>
    <row r="2" spans="2:21" ht="20">
      <c r="B2" s="300" t="s">
        <v>22</v>
      </c>
      <c r="C2" s="300"/>
      <c r="D2" s="300"/>
      <c r="E2" s="300"/>
      <c r="F2" s="300"/>
      <c r="G2" s="300"/>
      <c r="H2" s="300"/>
      <c r="I2" s="300"/>
      <c r="J2" s="300"/>
      <c r="K2" s="300"/>
      <c r="L2" s="300"/>
      <c r="M2" s="300"/>
      <c r="N2" s="300"/>
      <c r="O2" s="300"/>
      <c r="P2" s="300"/>
      <c r="Q2" s="300"/>
      <c r="R2" s="300"/>
      <c r="S2" s="300"/>
      <c r="T2" s="300"/>
      <c r="U2" s="300"/>
    </row>
    <row r="3" spans="2:21" ht="16" customHeight="1">
      <c r="E3" s="282" t="s">
        <v>23</v>
      </c>
      <c r="F3" s="282"/>
      <c r="G3" s="282"/>
      <c r="H3" s="282"/>
      <c r="I3" s="282"/>
      <c r="J3" s="282"/>
      <c r="K3" s="282"/>
      <c r="L3" s="282"/>
      <c r="M3" s="282"/>
      <c r="N3" s="282"/>
      <c r="O3" s="282"/>
      <c r="P3" s="282"/>
      <c r="Q3" s="282"/>
    </row>
    <row r="4" spans="2:21" ht="16" customHeight="1">
      <c r="E4" s="282"/>
      <c r="F4" s="282"/>
      <c r="G4" s="282"/>
      <c r="H4" s="282"/>
      <c r="I4" s="282"/>
      <c r="J4" s="282"/>
      <c r="K4" s="282"/>
      <c r="L4" s="282"/>
      <c r="M4" s="282"/>
      <c r="N4" s="282"/>
      <c r="O4" s="282"/>
      <c r="P4" s="282"/>
      <c r="Q4" s="282"/>
    </row>
    <row r="5" spans="2:21" ht="16.5" customHeight="1">
      <c r="D5" s="5" t="s">
        <v>24</v>
      </c>
    </row>
    <row r="6" spans="2:21">
      <c r="D6" s="5" t="s">
        <v>25</v>
      </c>
    </row>
    <row r="7" spans="2:21" ht="21.65" customHeight="1">
      <c r="B7" s="296" t="s">
        <v>26</v>
      </c>
      <c r="C7" s="296"/>
      <c r="D7" s="296"/>
      <c r="E7" s="296"/>
      <c r="F7" s="296"/>
      <c r="G7" s="296"/>
      <c r="H7" s="296"/>
      <c r="I7" s="296"/>
      <c r="J7" s="296"/>
      <c r="K7" s="296"/>
      <c r="L7" s="296"/>
      <c r="M7" s="296"/>
      <c r="N7" s="296"/>
      <c r="O7" s="296"/>
      <c r="P7" s="296"/>
      <c r="Q7" s="296"/>
      <c r="R7" s="296"/>
      <c r="S7" s="296"/>
      <c r="T7" s="296"/>
      <c r="U7" s="296"/>
    </row>
    <row r="8" spans="2:21" s="2" customFormat="1" ht="18.649999999999999" customHeight="1">
      <c r="B8" s="6" t="s">
        <v>27</v>
      </c>
      <c r="C8" s="6"/>
      <c r="D8" s="7"/>
      <c r="E8" s="7"/>
      <c r="F8" s="8" t="s">
        <v>28</v>
      </c>
      <c r="G8" s="301">
        <f>Load!J17</f>
        <v>46218</v>
      </c>
      <c r="H8" s="301"/>
      <c r="I8" s="301"/>
      <c r="J8" s="301"/>
      <c r="K8" s="7"/>
      <c r="L8" s="7"/>
      <c r="M8" s="7"/>
      <c r="N8" s="7"/>
      <c r="O8" s="7"/>
      <c r="P8" s="302" t="s">
        <v>29</v>
      </c>
      <c r="Q8" s="302"/>
      <c r="R8" s="302"/>
      <c r="S8" s="303">
        <v>160</v>
      </c>
      <c r="T8" s="303"/>
      <c r="U8" s="7"/>
    </row>
    <row r="9" spans="2:21">
      <c r="B9" s="9" t="s">
        <v>3</v>
      </c>
      <c r="C9" s="9"/>
      <c r="D9" s="10"/>
      <c r="E9" s="10"/>
      <c r="F9" s="11" t="s">
        <v>28</v>
      </c>
      <c r="G9" s="298">
        <f>Load!K19</f>
        <v>0.50232638888888892</v>
      </c>
      <c r="H9" s="298"/>
      <c r="I9" s="298"/>
      <c r="J9" s="298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</row>
    <row r="10" spans="2:21">
      <c r="B10" s="9" t="s">
        <v>31</v>
      </c>
      <c r="C10" s="9"/>
      <c r="D10" s="10"/>
      <c r="E10" s="10"/>
      <c r="F10" s="11" t="s">
        <v>28</v>
      </c>
      <c r="G10" s="298">
        <f>Load!K21</f>
        <v>0.51138888888888889</v>
      </c>
      <c r="H10" s="298"/>
      <c r="I10" s="298"/>
      <c r="J10" s="298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</row>
    <row r="11" spans="2:21" s="2" customFormat="1" ht="20.149999999999999" customHeight="1">
      <c r="B11" s="7"/>
      <c r="C11" s="6" t="s">
        <v>0</v>
      </c>
      <c r="D11" s="7"/>
      <c r="E11" s="7"/>
      <c r="F11" s="7"/>
      <c r="G11" s="7"/>
      <c r="H11" s="7"/>
      <c r="I11" s="6" t="s">
        <v>28</v>
      </c>
      <c r="J11" s="299">
        <f>Load!AN26</f>
        <v>8338</v>
      </c>
      <c r="K11" s="299"/>
      <c r="L11" s="7"/>
      <c r="M11" s="7"/>
      <c r="N11" s="7"/>
      <c r="O11" s="7"/>
      <c r="P11" s="6" t="s">
        <v>1</v>
      </c>
      <c r="Q11" s="7"/>
      <c r="R11" s="7"/>
      <c r="S11" s="6" t="s">
        <v>28</v>
      </c>
      <c r="T11" s="29">
        <f>Load!BN26</f>
        <v>45</v>
      </c>
      <c r="U11" s="30" t="s">
        <v>32</v>
      </c>
    </row>
    <row r="12" spans="2:21" ht="16" customHeight="1">
      <c r="B12" s="10"/>
      <c r="C12" s="9" t="s">
        <v>5</v>
      </c>
      <c r="D12" s="10"/>
      <c r="E12" s="10"/>
      <c r="F12" s="10"/>
      <c r="G12" s="10"/>
      <c r="H12" s="10"/>
      <c r="I12" s="6" t="s">
        <v>28</v>
      </c>
      <c r="J12" s="10" t="str">
        <f>Load!M26</f>
        <v>JHEERNNODHARA SAMITHI ANANTHAPURAM</v>
      </c>
      <c r="K12" s="10"/>
      <c r="L12" s="10"/>
      <c r="M12" s="10"/>
      <c r="N12" s="10"/>
      <c r="O12" s="10"/>
      <c r="P12" s="9" t="s">
        <v>2</v>
      </c>
      <c r="Q12" s="10"/>
      <c r="R12" s="10"/>
      <c r="S12" s="6" t="s">
        <v>28</v>
      </c>
      <c r="T12" s="29">
        <f>Load!AO29</f>
        <v>10</v>
      </c>
      <c r="U12" s="30" t="s">
        <v>32</v>
      </c>
    </row>
    <row r="13" spans="2:21" ht="16" customHeight="1">
      <c r="B13" s="10"/>
      <c r="C13" s="9" t="s">
        <v>7</v>
      </c>
      <c r="D13" s="10"/>
      <c r="E13" s="10"/>
      <c r="F13" s="10"/>
      <c r="G13" s="10"/>
      <c r="H13" s="10"/>
      <c r="I13" s="6" t="s">
        <v>28</v>
      </c>
      <c r="J13" s="10" t="str">
        <f>Load!M34</f>
        <v>BOVIKANAM</v>
      </c>
      <c r="O13" s="10"/>
      <c r="P13" s="9" t="s">
        <v>4</v>
      </c>
      <c r="Q13" s="10"/>
      <c r="R13" s="10"/>
      <c r="S13" s="6" t="s">
        <v>28</v>
      </c>
      <c r="T13" s="29">
        <v>0</v>
      </c>
      <c r="U13" s="30" t="s">
        <v>32</v>
      </c>
    </row>
    <row r="14" spans="2:21" ht="16" customHeight="1">
      <c r="B14" s="10"/>
      <c r="C14" s="9" t="s">
        <v>9</v>
      </c>
      <c r="D14" s="10"/>
      <c r="E14" s="10"/>
      <c r="F14" s="10"/>
      <c r="G14" s="10"/>
      <c r="H14" s="10"/>
      <c r="I14" s="6" t="s">
        <v>28</v>
      </c>
      <c r="J14" s="10" t="str">
        <f>Load!M29</f>
        <v>M 40 A</v>
      </c>
      <c r="K14" s="10"/>
      <c r="L14" s="10"/>
      <c r="M14" s="10"/>
      <c r="N14" s="10"/>
      <c r="O14" s="10"/>
      <c r="P14" s="9" t="s">
        <v>6</v>
      </c>
      <c r="Q14" s="10"/>
      <c r="R14" s="10"/>
      <c r="S14" s="6" t="s">
        <v>28</v>
      </c>
      <c r="T14" s="29">
        <f>Load!BE26</f>
        <v>31</v>
      </c>
      <c r="U14" s="30" t="s">
        <v>32</v>
      </c>
    </row>
    <row r="15" spans="2:21" ht="16" customHeight="1">
      <c r="B15" s="10"/>
      <c r="C15" s="9" t="s">
        <v>10</v>
      </c>
      <c r="D15" s="10"/>
      <c r="E15" s="10"/>
      <c r="F15" s="10"/>
      <c r="G15" s="10"/>
      <c r="H15" s="10"/>
      <c r="I15" s="6" t="s">
        <v>28</v>
      </c>
      <c r="J15" s="10">
        <f>Load!M32</f>
        <v>0</v>
      </c>
      <c r="K15" s="10"/>
      <c r="L15" s="10"/>
      <c r="M15" s="10"/>
      <c r="N15" s="10"/>
      <c r="O15" s="10"/>
      <c r="P15" s="9" t="s">
        <v>33</v>
      </c>
      <c r="Q15" s="10"/>
      <c r="R15" s="10"/>
      <c r="S15" s="6" t="s">
        <v>28</v>
      </c>
      <c r="T15" s="29">
        <v>1</v>
      </c>
      <c r="U15" s="30" t="s">
        <v>32</v>
      </c>
    </row>
    <row r="16" spans="2:21" ht="16" customHeight="1">
      <c r="B16" s="10"/>
      <c r="C16" s="9" t="s">
        <v>12</v>
      </c>
      <c r="D16" s="10"/>
      <c r="E16" s="10"/>
      <c r="F16" s="10"/>
      <c r="G16" s="10"/>
      <c r="H16" s="10"/>
      <c r="I16" s="6" t="s">
        <v>28</v>
      </c>
      <c r="J16" s="10" t="str">
        <f>Load!BG29</f>
        <v>KL14 AF 2789</v>
      </c>
      <c r="K16" s="10"/>
      <c r="L16" s="10"/>
      <c r="M16" s="10"/>
      <c r="N16" s="10"/>
      <c r="O16" s="10"/>
      <c r="P16" s="9" t="s">
        <v>34</v>
      </c>
      <c r="Q16" s="10"/>
      <c r="R16" s="10"/>
      <c r="S16" s="6" t="s">
        <v>28</v>
      </c>
      <c r="T16" s="29">
        <f>T12/10</f>
        <v>1</v>
      </c>
      <c r="U16" s="30" t="s">
        <v>32</v>
      </c>
    </row>
    <row r="17" spans="2:22" ht="16" customHeight="1">
      <c r="B17" s="10"/>
      <c r="C17" s="9" t="s">
        <v>11</v>
      </c>
      <c r="D17" s="10"/>
      <c r="E17" s="10"/>
      <c r="F17" s="10"/>
      <c r="G17" s="10"/>
      <c r="H17" s="10"/>
      <c r="I17" s="6" t="s">
        <v>28</v>
      </c>
      <c r="J17" s="10">
        <f>Load!AZ32</f>
        <v>0</v>
      </c>
      <c r="K17" s="10"/>
      <c r="L17" s="10"/>
      <c r="M17" s="10"/>
      <c r="N17" s="10"/>
      <c r="O17" s="10"/>
      <c r="P17" s="9" t="s">
        <v>35</v>
      </c>
      <c r="Q17" s="10"/>
      <c r="R17" s="10"/>
      <c r="S17" s="10"/>
      <c r="T17" s="10">
        <v>0</v>
      </c>
      <c r="U17" s="31" t="s">
        <v>36</v>
      </c>
    </row>
    <row r="18" spans="2:22">
      <c r="C18" s="9" t="s">
        <v>8</v>
      </c>
      <c r="D18" s="10"/>
      <c r="E18" s="10"/>
      <c r="F18" s="10"/>
      <c r="G18" s="10"/>
      <c r="H18" s="10"/>
      <c r="I18" s="6" t="s">
        <v>28</v>
      </c>
      <c r="J18" s="10">
        <f>Load!AZ34</f>
        <v>0</v>
      </c>
      <c r="K18" s="10"/>
      <c r="L18" s="10"/>
      <c r="M18" s="10"/>
      <c r="N18" s="10"/>
      <c r="O18" s="10"/>
    </row>
    <row r="19" spans="2:22">
      <c r="C19" s="9" t="s">
        <v>37</v>
      </c>
      <c r="D19" s="10"/>
      <c r="E19" s="10"/>
      <c r="F19" s="10"/>
      <c r="G19" s="10"/>
      <c r="H19" s="10"/>
      <c r="I19" s="6" t="s">
        <v>28</v>
      </c>
      <c r="J19" s="10" t="s">
        <v>25</v>
      </c>
      <c r="K19" s="10"/>
      <c r="L19" s="10"/>
      <c r="M19" s="10"/>
      <c r="N19" s="10"/>
      <c r="O19" s="10"/>
    </row>
    <row r="20" spans="2:22" ht="22" customHeight="1">
      <c r="B20" s="296" t="s">
        <v>38</v>
      </c>
      <c r="C20" s="296"/>
      <c r="D20" s="296"/>
      <c r="E20" s="296"/>
      <c r="F20" s="296"/>
      <c r="G20" s="296"/>
      <c r="H20" s="296"/>
      <c r="I20" s="296"/>
      <c r="J20" s="296"/>
      <c r="K20" s="296" t="s">
        <v>39</v>
      </c>
      <c r="L20" s="296"/>
      <c r="M20" s="296"/>
      <c r="N20" s="296" t="s">
        <v>40</v>
      </c>
      <c r="O20" s="296"/>
      <c r="P20" s="296"/>
      <c r="Q20" s="32" t="s">
        <v>41</v>
      </c>
      <c r="R20" s="296" t="s">
        <v>42</v>
      </c>
      <c r="S20" s="296"/>
      <c r="T20" s="296"/>
      <c r="U20" s="296"/>
    </row>
    <row r="21" spans="2:22" ht="14.5" customHeight="1">
      <c r="B21" s="297" t="str">
        <f>Load!W45</f>
        <v>M SAND</v>
      </c>
      <c r="C21" s="297"/>
      <c r="D21" s="12" t="str">
        <f>Load!AA45</f>
        <v xml:space="preserve">M SAND </v>
      </c>
      <c r="E21" s="293" t="str">
        <f>Load!AE45</f>
        <v>12 MM</v>
      </c>
      <c r="F21" s="293"/>
      <c r="G21" s="293"/>
      <c r="H21" s="14" t="str">
        <f>Load!AG45</f>
        <v>20 MM</v>
      </c>
      <c r="I21" s="293" t="str">
        <f>Load!AJ45</f>
        <v>0</v>
      </c>
      <c r="J21" s="293"/>
      <c r="K21" s="13" t="str">
        <f>Load!AL45</f>
        <v>CEM 1</v>
      </c>
      <c r="L21" s="13" t="str">
        <f>Load!AP45</f>
        <v>CEM 2</v>
      </c>
      <c r="M21" s="13" t="str">
        <f>Load!AR45</f>
        <v>CEM 3</v>
      </c>
      <c r="O21" s="293" t="str">
        <f>Load!BC45</f>
        <v>WATER</v>
      </c>
      <c r="P21" s="293"/>
      <c r="Q21" s="5" t="s">
        <v>43</v>
      </c>
      <c r="R21" s="297" t="str">
        <f>Load!AV45</f>
        <v>ADMIX1</v>
      </c>
      <c r="S21" s="297"/>
      <c r="T21" s="297" t="str">
        <f>Load!AY45</f>
        <v>ADMIX2</v>
      </c>
      <c r="U21" s="297"/>
    </row>
    <row r="22" spans="2:22">
      <c r="B22" s="10" t="s">
        <v>44</v>
      </c>
    </row>
    <row r="23" spans="2:22" s="2" customFormat="1" ht="20.5" customHeight="1">
      <c r="B23" s="294">
        <f>Load!W46</f>
        <v>0</v>
      </c>
      <c r="C23" s="294"/>
      <c r="D23" s="15">
        <f>Load!AA46</f>
        <v>743</v>
      </c>
      <c r="E23" s="295">
        <f>Load!AE46</f>
        <v>435</v>
      </c>
      <c r="F23" s="295"/>
      <c r="G23" s="295"/>
      <c r="H23" s="15">
        <f>Load!AG46</f>
        <v>681</v>
      </c>
      <c r="I23" s="295"/>
      <c r="J23" s="295"/>
      <c r="K23" s="27">
        <f>Load!AL46</f>
        <v>340</v>
      </c>
      <c r="L23" s="27">
        <f>Load!AP46</f>
        <v>0</v>
      </c>
      <c r="M23" s="27">
        <f>Load!AR46</f>
        <v>100</v>
      </c>
      <c r="N23" s="27">
        <v>0</v>
      </c>
      <c r="O23" s="294">
        <f>Load!BC46</f>
        <v>154</v>
      </c>
      <c r="P23" s="294"/>
      <c r="Q23" s="33">
        <v>0</v>
      </c>
      <c r="R23" s="292">
        <f>Load!AV46</f>
        <v>2.6</v>
      </c>
      <c r="S23" s="292"/>
      <c r="T23" s="292">
        <f>Load!AY46</f>
        <v>0</v>
      </c>
      <c r="U23" s="292"/>
    </row>
    <row r="24" spans="2:22" ht="20.149999999999999" customHeight="1">
      <c r="B24" s="5" t="s">
        <v>45</v>
      </c>
    </row>
    <row r="25" spans="2:22">
      <c r="B25" s="280">
        <f>Load!W47</f>
        <v>0</v>
      </c>
      <c r="C25" s="280"/>
      <c r="D25" s="17">
        <f>Load!AA47</f>
        <v>2</v>
      </c>
      <c r="E25" s="280">
        <f>Load!AE47</f>
        <v>1</v>
      </c>
      <c r="F25" s="280"/>
      <c r="G25" s="280"/>
      <c r="H25" s="18">
        <f>Load!AG47</f>
        <v>1</v>
      </c>
      <c r="I25" s="280">
        <v>0</v>
      </c>
      <c r="J25" s="280"/>
      <c r="K25" s="14"/>
      <c r="L25" s="14"/>
      <c r="M25" s="14"/>
      <c r="N25" s="14"/>
      <c r="O25" s="293">
        <v>0</v>
      </c>
      <c r="P25" s="293"/>
      <c r="Q25" s="14"/>
      <c r="R25" s="14"/>
      <c r="S25" s="14"/>
      <c r="T25" s="14"/>
      <c r="U25" s="14"/>
    </row>
    <row r="26" spans="2:22">
      <c r="B26" s="280">
        <f>Load!W48</f>
        <v>0</v>
      </c>
      <c r="C26" s="280"/>
      <c r="D26" s="124">
        <f>Load!AA48</f>
        <v>4.5</v>
      </c>
      <c r="E26" s="280">
        <f>Load!AE48</f>
        <v>0</v>
      </c>
      <c r="F26" s="280"/>
      <c r="G26" s="280"/>
      <c r="H26" s="16">
        <f>Load!AG48</f>
        <v>0</v>
      </c>
      <c r="I26" s="280">
        <v>0</v>
      </c>
      <c r="J26" s="280"/>
      <c r="K26" s="14"/>
      <c r="L26" s="14"/>
      <c r="M26" s="14"/>
      <c r="N26" s="13" t="s">
        <v>46</v>
      </c>
      <c r="O26" s="279">
        <v>0</v>
      </c>
      <c r="P26" s="279"/>
      <c r="Q26" s="14"/>
      <c r="R26" s="14"/>
      <c r="S26" s="14"/>
      <c r="T26" s="14"/>
      <c r="U26" s="14"/>
    </row>
    <row r="27" spans="2:22">
      <c r="B27" s="286">
        <f>(((B26-B25)*(B23*T16))/100)+(((B26-B25)*(((B26-B25)*(B23*T16))/100))/100)+(B23*T16)</f>
        <v>0</v>
      </c>
      <c r="C27" s="286">
        <f t="shared" ref="C27" si="0">(((C26-C25)*C23)/100)+(((C26-C25)*(((C26-C25)*C23)/100))/100)+C23</f>
        <v>0</v>
      </c>
      <c r="D27" s="20">
        <f>(((D26-D25)*(D23*T16))/100)+(((D26-D25)*(((D26-D25)*(D23*T16))/100))/100)+(D23*T16)</f>
        <v>762.03937499999995</v>
      </c>
      <c r="E27" s="286">
        <f>(((E26-E25)*(E23*T16))/100)+(((E26-E25)*(((E26-E25)*(T16*E23))/100))/100)+(T16*E23)</f>
        <v>430.69349999999997</v>
      </c>
      <c r="F27" s="286">
        <f t="shared" ref="F27:G27" si="1">(((F26-F25)*F23)/100)+(((F26-F25)*(((F26-F25)*F23)/100))/100)+F23</f>
        <v>0</v>
      </c>
      <c r="G27" s="286">
        <f t="shared" si="1"/>
        <v>0</v>
      </c>
      <c r="H27" s="21">
        <f>(((H26-H25)*(T16*H23))/100)+(((H26-H25)*(((H26-H25)*(T16*H23))/100))/100)+(T16*H23)</f>
        <v>674.25810000000001</v>
      </c>
      <c r="I27" s="286">
        <f>(((I26-I25)*(T16*I23))/100)+(((I26-I25)*(((I26-I25)*(T16*I23))/100))/100)+(T16*I23)</f>
        <v>0</v>
      </c>
      <c r="J27" s="286">
        <f t="shared" ref="J27" si="2">(((J26-J25)*J23)/100)+(((J26-J25)*(((J26-J25)*J23)/100))/100)+J23</f>
        <v>0</v>
      </c>
      <c r="K27" s="21">
        <f>K23*T16</f>
        <v>340</v>
      </c>
      <c r="L27" s="21">
        <f>L23*T16</f>
        <v>0</v>
      </c>
      <c r="M27" s="21">
        <f>M23*T16</f>
        <v>100</v>
      </c>
      <c r="N27" s="25">
        <v>0</v>
      </c>
      <c r="O27" s="291">
        <f>(T16*O23)-(((B27*B26/100)-(B27*B25/100))+((D27*D26/100)-(D27*D25/100))+((E27*E26/100)-(E27*E25/100))+((H27*H26/100)-(H27*H25/100)))</f>
        <v>145.998531625</v>
      </c>
      <c r="P27" s="291"/>
      <c r="Q27" s="34">
        <v>0</v>
      </c>
      <c r="R27" s="280">
        <f>R23*T16</f>
        <v>2.6</v>
      </c>
      <c r="S27" s="280"/>
      <c r="T27" s="289">
        <f>T23*T16</f>
        <v>0</v>
      </c>
      <c r="U27" s="289"/>
    </row>
    <row r="28" spans="2:22">
      <c r="B28" s="286">
        <f ca="1">$B$27+($B$27*1*(0.5-RAND()))/100</f>
        <v>0</v>
      </c>
      <c r="C28" s="286"/>
      <c r="D28" s="21">
        <f ca="1">$D$27+($D$27*1*(0.5-RAND()))/100</f>
        <v>763.98757022886798</v>
      </c>
      <c r="E28" s="286">
        <f ca="1">$E$27+($E$27*1*(0.5-RAND()))/100</f>
        <v>431.47245116617785</v>
      </c>
      <c r="F28" s="286"/>
      <c r="G28" s="286"/>
      <c r="H28" s="21">
        <f ca="1">$H$27+($H$27*1*(0.5-RAND()))/100</f>
        <v>674.40350603177467</v>
      </c>
      <c r="I28" s="286">
        <f ca="1">$I$27+($I$27*1*(0.5-RAND()))/100</f>
        <v>0</v>
      </c>
      <c r="J28" s="286"/>
      <c r="K28" s="21">
        <f ca="1">$K$27+($K$27*2*(0.5-RAND()))/100</f>
        <v>339.98351349279977</v>
      </c>
      <c r="L28" s="21">
        <f ca="1">$L$27+($L$27*2*(0.5-RAND()))/100</f>
        <v>0</v>
      </c>
      <c r="M28" s="21">
        <f ca="1">$M$27+($M$27*2*(0.5-RAND()))/100</f>
        <v>99.188555875721548</v>
      </c>
      <c r="N28" s="25">
        <f ca="1">N27+(N27*1*(0.5-RAND()))/100</f>
        <v>0</v>
      </c>
      <c r="O28" s="286">
        <f ca="1">$O$27+($O$27*(Load!$BM$46+Load!$BO$46*RAND()))/100</f>
        <v>143.3133479157147</v>
      </c>
      <c r="P28" s="286"/>
      <c r="Q28" s="34">
        <v>0</v>
      </c>
      <c r="R28" s="280">
        <f ca="1">$R$27+($R$27*2*(0.5-RAND()))/100</f>
        <v>2.592652299187487</v>
      </c>
      <c r="S28" s="280"/>
      <c r="T28" s="290">
        <v>0</v>
      </c>
      <c r="U28" s="290"/>
    </row>
    <row r="29" spans="2:22">
      <c r="B29" s="280">
        <f>$B$25</f>
        <v>0</v>
      </c>
      <c r="C29" s="280"/>
      <c r="D29" s="17">
        <f>$D$25</f>
        <v>2</v>
      </c>
      <c r="E29" s="280">
        <f>$E$25</f>
        <v>1</v>
      </c>
      <c r="F29" s="280"/>
      <c r="G29" s="280"/>
      <c r="H29" s="18">
        <f>$H$25</f>
        <v>1</v>
      </c>
      <c r="I29" s="280">
        <v>0</v>
      </c>
      <c r="J29" s="280"/>
      <c r="K29" s="14"/>
      <c r="L29" s="14"/>
      <c r="M29" s="14"/>
      <c r="N29" s="14"/>
      <c r="O29" s="293">
        <v>0</v>
      </c>
      <c r="P29" s="293"/>
      <c r="Q29" s="14"/>
      <c r="R29" s="14"/>
      <c r="S29" s="14"/>
      <c r="T29" s="14"/>
      <c r="U29" s="14"/>
    </row>
    <row r="30" spans="2:22">
      <c r="B30" s="280">
        <f>$B$26</f>
        <v>0</v>
      </c>
      <c r="C30" s="280"/>
      <c r="D30" s="124">
        <f>$D$26</f>
        <v>4.5</v>
      </c>
      <c r="E30" s="280">
        <f>$E$26</f>
        <v>0</v>
      </c>
      <c r="F30" s="280"/>
      <c r="G30" s="280"/>
      <c r="H30" s="16">
        <f>$H$26</f>
        <v>0</v>
      </c>
      <c r="I30" s="280">
        <v>0</v>
      </c>
      <c r="J30" s="280"/>
      <c r="K30" s="14"/>
      <c r="L30" s="14"/>
      <c r="M30" s="14"/>
      <c r="N30" s="13" t="s">
        <v>46</v>
      </c>
      <c r="O30" s="279">
        <v>0</v>
      </c>
      <c r="P30" s="279"/>
      <c r="Q30" s="14"/>
      <c r="R30" s="14"/>
      <c r="S30" s="14"/>
      <c r="T30" s="14"/>
      <c r="U30" s="14"/>
    </row>
    <row r="31" spans="2:22" s="3" customFormat="1">
      <c r="B31" s="286">
        <f>ROUND($B$27,0)</f>
        <v>0</v>
      </c>
      <c r="C31" s="286"/>
      <c r="D31" s="21">
        <f>ROUND(($D$27),0)</f>
        <v>762</v>
      </c>
      <c r="E31" s="286">
        <f>ROUND($E$27,0)</f>
        <v>431</v>
      </c>
      <c r="F31" s="286">
        <f t="shared" ref="F31:U31" si="3">F$27</f>
        <v>0</v>
      </c>
      <c r="G31" s="286">
        <f t="shared" si="3"/>
        <v>0</v>
      </c>
      <c r="H31" s="21">
        <f>ROUND($H$27,0)</f>
        <v>674</v>
      </c>
      <c r="I31" s="286">
        <f>$I$27</f>
        <v>0</v>
      </c>
      <c r="J31" s="286">
        <f t="shared" si="3"/>
        <v>0</v>
      </c>
      <c r="K31" s="21">
        <f>$K$27</f>
        <v>340</v>
      </c>
      <c r="L31" s="21">
        <f>$L$27</f>
        <v>0</v>
      </c>
      <c r="M31" s="21">
        <f>$M$27</f>
        <v>100</v>
      </c>
      <c r="N31" s="25">
        <f>$N$27</f>
        <v>0</v>
      </c>
      <c r="O31" s="286">
        <f>$O$27</f>
        <v>145.998531625</v>
      </c>
      <c r="P31" s="286">
        <f t="shared" si="3"/>
        <v>0</v>
      </c>
      <c r="Q31" s="34">
        <f>$Q$27</f>
        <v>0</v>
      </c>
      <c r="R31" s="280">
        <f>$R$27</f>
        <v>2.6</v>
      </c>
      <c r="S31" s="280">
        <f t="shared" si="3"/>
        <v>0</v>
      </c>
      <c r="T31" s="289">
        <f>$T$27</f>
        <v>0</v>
      </c>
      <c r="U31" s="289">
        <f t="shared" si="3"/>
        <v>0</v>
      </c>
      <c r="V31" s="5"/>
    </row>
    <row r="32" spans="2:22" s="3" customFormat="1">
      <c r="B32" s="286">
        <f ca="1">$B$27+($B$27*1*(0.5-RAND()))/100</f>
        <v>0</v>
      </c>
      <c r="C32" s="286"/>
      <c r="D32" s="21">
        <f ca="1">$D$27+($D$27*1*(0.5-RAND()))/100</f>
        <v>759.24548830172898</v>
      </c>
      <c r="E32" s="286">
        <f ca="1">$E$27+($E$27*1*(0.5-RAND()))/100</f>
        <v>432.23530105139906</v>
      </c>
      <c r="F32" s="286"/>
      <c r="G32" s="286"/>
      <c r="H32" s="21">
        <f ca="1">$H$27+($H$27*1*(0.5-RAND()))/100</f>
        <v>676.4014017049268</v>
      </c>
      <c r="I32" s="286">
        <f ca="1">$I$27+($I$27*1*(0.5-RAND()))/100</f>
        <v>0</v>
      </c>
      <c r="J32" s="286"/>
      <c r="K32" s="21">
        <f ca="1">$K$27+($K$27*2*(0.5-RAND()))/100</f>
        <v>341.63922610382019</v>
      </c>
      <c r="L32" s="21">
        <f ca="1">$L$27+($L$27*2*(0.5-RAND()))/100</f>
        <v>0</v>
      </c>
      <c r="M32" s="21">
        <f ca="1">$M$27+($M$27*2*(0.5-RAND()))/100</f>
        <v>100.88324024120546</v>
      </c>
      <c r="N32" s="25">
        <v>0</v>
      </c>
      <c r="O32" s="286">
        <f ca="1">$O$27+($O$27*(Load!$BM$46+Load!$BO$46*RAND()))/100</f>
        <v>145.78055460874302</v>
      </c>
      <c r="P32" s="286"/>
      <c r="Q32" s="16">
        <v>0</v>
      </c>
      <c r="R32" s="280">
        <f ca="1">$R$27+($R$27*2*(0.5-RAND()))/100</f>
        <v>2.592894000471718</v>
      </c>
      <c r="S32" s="280"/>
      <c r="T32" s="290">
        <v>0</v>
      </c>
      <c r="U32" s="290"/>
      <c r="V32" s="5"/>
    </row>
    <row r="33" spans="2:22" s="3" customFormat="1">
      <c r="B33" s="280">
        <f>$B$25</f>
        <v>0</v>
      </c>
      <c r="C33" s="280"/>
      <c r="D33" s="17">
        <f>$D$25</f>
        <v>2</v>
      </c>
      <c r="E33" s="280">
        <f>$E$25</f>
        <v>1</v>
      </c>
      <c r="F33" s="280"/>
      <c r="G33" s="280"/>
      <c r="H33" s="18">
        <f>$H$25</f>
        <v>1</v>
      </c>
      <c r="I33" s="280">
        <v>0</v>
      </c>
      <c r="J33" s="280"/>
      <c r="K33" s="14"/>
      <c r="L33" s="14"/>
      <c r="M33" s="14"/>
      <c r="N33" s="14"/>
      <c r="O33" s="293">
        <v>0</v>
      </c>
      <c r="P33" s="293"/>
      <c r="Q33" s="14"/>
      <c r="R33" s="14"/>
      <c r="S33" s="14"/>
      <c r="T33" s="14"/>
      <c r="U33" s="14"/>
      <c r="V33" s="5"/>
    </row>
    <row r="34" spans="2:22" s="3" customFormat="1">
      <c r="B34" s="280">
        <f>$B$26</f>
        <v>0</v>
      </c>
      <c r="C34" s="280"/>
      <c r="D34" s="124">
        <f>$D$26</f>
        <v>4.5</v>
      </c>
      <c r="E34" s="280">
        <f>$E$26</f>
        <v>0</v>
      </c>
      <c r="F34" s="280"/>
      <c r="G34" s="280"/>
      <c r="H34" s="16">
        <f>$H$26</f>
        <v>0</v>
      </c>
      <c r="I34" s="280">
        <v>0</v>
      </c>
      <c r="J34" s="280"/>
      <c r="K34" s="14"/>
      <c r="L34" s="14"/>
      <c r="M34" s="14"/>
      <c r="N34" s="13" t="s">
        <v>46</v>
      </c>
      <c r="O34" s="279">
        <v>0</v>
      </c>
      <c r="P34" s="279"/>
      <c r="Q34" s="14"/>
      <c r="R34" s="14"/>
      <c r="S34" s="14"/>
      <c r="T34" s="14"/>
      <c r="U34" s="14"/>
      <c r="V34" s="5"/>
    </row>
    <row r="35" spans="2:22" s="3" customFormat="1">
      <c r="B35" s="286">
        <f>ROUND($B$27,0)</f>
        <v>0</v>
      </c>
      <c r="C35" s="286"/>
      <c r="D35" s="21">
        <f>ROUND(($D$27),0)</f>
        <v>762</v>
      </c>
      <c r="E35" s="286">
        <f>ROUND($E$27,0)</f>
        <v>431</v>
      </c>
      <c r="F35" s="286">
        <f t="shared" ref="F35:G35" si="4">F$27</f>
        <v>0</v>
      </c>
      <c r="G35" s="286">
        <f t="shared" si="4"/>
        <v>0</v>
      </c>
      <c r="H35" s="21">
        <f>ROUND($H$27,0)</f>
        <v>674</v>
      </c>
      <c r="I35" s="286">
        <f>$I$27</f>
        <v>0</v>
      </c>
      <c r="J35" s="286">
        <f t="shared" ref="J35" si="5">J$27</f>
        <v>0</v>
      </c>
      <c r="K35" s="21">
        <f>$K$27</f>
        <v>340</v>
      </c>
      <c r="L35" s="21">
        <f>$L$27</f>
        <v>0</v>
      </c>
      <c r="M35" s="21">
        <f>$M$27</f>
        <v>100</v>
      </c>
      <c r="N35" s="25">
        <f>$N$27</f>
        <v>0</v>
      </c>
      <c r="O35" s="286">
        <f>$O$27</f>
        <v>145.998531625</v>
      </c>
      <c r="P35" s="286">
        <f t="shared" ref="P35" si="6">P$27</f>
        <v>0</v>
      </c>
      <c r="Q35" s="16">
        <f>$Q$27</f>
        <v>0</v>
      </c>
      <c r="R35" s="280">
        <f>$R$27</f>
        <v>2.6</v>
      </c>
      <c r="S35" s="280">
        <f t="shared" ref="S35" si="7">S$27</f>
        <v>0</v>
      </c>
      <c r="T35" s="289">
        <f>$T$27</f>
        <v>0</v>
      </c>
      <c r="U35" s="289">
        <f t="shared" ref="U35" si="8">U$27</f>
        <v>0</v>
      </c>
      <c r="V35" s="5"/>
    </row>
    <row r="36" spans="2:22" s="3" customFormat="1">
      <c r="B36" s="286">
        <f ca="1">$B$27+($B$27*1*(0.5-RAND()))/100</f>
        <v>0</v>
      </c>
      <c r="C36" s="286"/>
      <c r="D36" s="21">
        <f ca="1">$D$27+($D$27*1*(0.5-RAND()))/100</f>
        <v>758.45957250633819</v>
      </c>
      <c r="E36" s="286">
        <f ca="1">$E$27+($E$27*1*(0.5-RAND()))/100</f>
        <v>429.95064174464397</v>
      </c>
      <c r="F36" s="286"/>
      <c r="G36" s="286"/>
      <c r="H36" s="21">
        <f ca="1">$H$27+($H$27*1*(0.5-RAND()))/100</f>
        <v>674.98585384581793</v>
      </c>
      <c r="I36" s="286">
        <f ca="1">$I$27+($I$27*1*(0.5-RAND()))/100</f>
        <v>0</v>
      </c>
      <c r="J36" s="286"/>
      <c r="K36" s="21">
        <f ca="1">$K$27+($K$27*2*(0.5-RAND()))/100</f>
        <v>339.78427596369107</v>
      </c>
      <c r="L36" s="21">
        <f ca="1">$L$27+($L$27*2*(0.5-RAND()))/100</f>
        <v>0</v>
      </c>
      <c r="M36" s="21">
        <f ca="1">$M$27+($M$27*2*(0.5-RAND()))/100</f>
        <v>100.60180750605208</v>
      </c>
      <c r="N36" s="25">
        <v>0</v>
      </c>
      <c r="O36" s="286">
        <f ca="1">$O$27+($O$27*(Load!$BM$46+Load!$BO$46*RAND()))/100</f>
        <v>146.8939515113731</v>
      </c>
      <c r="P36" s="286"/>
      <c r="Q36" s="16">
        <v>0</v>
      </c>
      <c r="R36" s="280">
        <f ca="1">$R$27+($R$27*2*(0.5-RAND()))/100</f>
        <v>2.5752621792460957</v>
      </c>
      <c r="S36" s="280"/>
      <c r="T36" s="290">
        <v>0</v>
      </c>
      <c r="U36" s="290"/>
      <c r="V36" s="5"/>
    </row>
    <row r="37" spans="2:22" s="3" customFormat="1">
      <c r="B37" s="280">
        <f>$B$25</f>
        <v>0</v>
      </c>
      <c r="C37" s="280"/>
      <c r="D37" s="17">
        <f>$D$25</f>
        <v>2</v>
      </c>
      <c r="E37" s="280">
        <f>$E$25</f>
        <v>1</v>
      </c>
      <c r="F37" s="280"/>
      <c r="G37" s="280"/>
      <c r="H37" s="18">
        <f>$H$25</f>
        <v>1</v>
      </c>
      <c r="I37" s="280">
        <v>0</v>
      </c>
      <c r="J37" s="280"/>
      <c r="K37" s="14"/>
      <c r="L37" s="14"/>
      <c r="M37" s="14"/>
      <c r="N37" s="14"/>
      <c r="O37" s="293">
        <v>0</v>
      </c>
      <c r="P37" s="293"/>
      <c r="Q37" s="14"/>
      <c r="R37" s="14"/>
      <c r="S37" s="14"/>
      <c r="T37" s="14"/>
      <c r="U37" s="14"/>
      <c r="V37" s="5"/>
    </row>
    <row r="38" spans="2:22" s="3" customFormat="1">
      <c r="B38" s="280">
        <f>$B$26</f>
        <v>0</v>
      </c>
      <c r="C38" s="280"/>
      <c r="D38" s="124">
        <f>$D$26</f>
        <v>4.5</v>
      </c>
      <c r="E38" s="280">
        <f>$E$26</f>
        <v>0</v>
      </c>
      <c r="F38" s="280"/>
      <c r="G38" s="280"/>
      <c r="H38" s="16">
        <f>$H$26</f>
        <v>0</v>
      </c>
      <c r="I38" s="280">
        <v>0</v>
      </c>
      <c r="J38" s="280"/>
      <c r="K38" s="14"/>
      <c r="L38" s="14"/>
      <c r="M38" s="14"/>
      <c r="N38" s="13" t="s">
        <v>46</v>
      </c>
      <c r="O38" s="279">
        <v>0</v>
      </c>
      <c r="P38" s="279"/>
      <c r="Q38" s="14"/>
      <c r="R38" s="14"/>
      <c r="S38" s="14"/>
      <c r="T38" s="14"/>
      <c r="U38" s="14"/>
      <c r="V38" s="5"/>
    </row>
    <row r="39" spans="2:22" s="3" customFormat="1">
      <c r="B39" s="286">
        <f>ROUND($B$27,0)</f>
        <v>0</v>
      </c>
      <c r="C39" s="286"/>
      <c r="D39" s="21">
        <f>ROUND(($D$27),0)</f>
        <v>762</v>
      </c>
      <c r="E39" s="286">
        <f>ROUND($E$27,0)</f>
        <v>431</v>
      </c>
      <c r="F39" s="286">
        <f t="shared" ref="F39:G39" si="9">F$27</f>
        <v>0</v>
      </c>
      <c r="G39" s="286">
        <f t="shared" si="9"/>
        <v>0</v>
      </c>
      <c r="H39" s="21">
        <f>ROUND($H$27,0)</f>
        <v>674</v>
      </c>
      <c r="I39" s="286">
        <f>$I$27</f>
        <v>0</v>
      </c>
      <c r="J39" s="286">
        <f t="shared" ref="J39" si="10">J$27</f>
        <v>0</v>
      </c>
      <c r="K39" s="21">
        <f>$K$27</f>
        <v>340</v>
      </c>
      <c r="L39" s="21">
        <f>$L$27</f>
        <v>0</v>
      </c>
      <c r="M39" s="21">
        <f>$M$27</f>
        <v>100</v>
      </c>
      <c r="N39" s="25">
        <f>$N$27</f>
        <v>0</v>
      </c>
      <c r="O39" s="286">
        <f>$O$27</f>
        <v>145.998531625</v>
      </c>
      <c r="P39" s="286">
        <f t="shared" ref="P39" si="11">P$27</f>
        <v>0</v>
      </c>
      <c r="Q39" s="16">
        <f>$Q$27</f>
        <v>0</v>
      </c>
      <c r="R39" s="280">
        <f>$R$27</f>
        <v>2.6</v>
      </c>
      <c r="S39" s="280">
        <f t="shared" ref="S39" si="12">S$27</f>
        <v>0</v>
      </c>
      <c r="T39" s="289">
        <f>$T$27</f>
        <v>0</v>
      </c>
      <c r="U39" s="289">
        <f t="shared" ref="U39" si="13">U$27</f>
        <v>0</v>
      </c>
      <c r="V39" s="5"/>
    </row>
    <row r="40" spans="2:22" s="3" customFormat="1">
      <c r="B40" s="286">
        <f ca="1">$B$27+($B$27*1*(0.5-RAND()))/100</f>
        <v>0</v>
      </c>
      <c r="C40" s="286"/>
      <c r="D40" s="21">
        <f ca="1">$D$27+($D$27*1*(0.5-RAND()))/100</f>
        <v>758.59018634461711</v>
      </c>
      <c r="E40" s="286">
        <f ca="1">$E$27+($E$27*1*(0.5-RAND()))/100</f>
        <v>430.59111527717067</v>
      </c>
      <c r="F40" s="286"/>
      <c r="G40" s="286"/>
      <c r="H40" s="21">
        <f ca="1">$H$27+($H$27*1*(0.5-RAND()))/100</f>
        <v>671.10256955238106</v>
      </c>
      <c r="I40" s="286">
        <f ca="1">$I$27+($I$27*1*(0.5-RAND()))/100</f>
        <v>0</v>
      </c>
      <c r="J40" s="286"/>
      <c r="K40" s="21">
        <f ca="1">$K$27+($K$27*2*(0.5-RAND()))/100</f>
        <v>342.14421164618113</v>
      </c>
      <c r="L40" s="21">
        <f ca="1">$L$27+($L$27*2*(0.5-RAND()))/100</f>
        <v>0</v>
      </c>
      <c r="M40" s="21">
        <f ca="1">$M$27+($M$27*2*(0.5-RAND()))/100</f>
        <v>99.002105192247356</v>
      </c>
      <c r="N40" s="25">
        <v>0</v>
      </c>
      <c r="O40" s="286">
        <f ca="1">$O$27+($O$27*(Load!$BM$46+Load!$BO$46*RAND()))/100</f>
        <v>146.4268014696373</v>
      </c>
      <c r="P40" s="286"/>
      <c r="Q40" s="16">
        <v>0</v>
      </c>
      <c r="R40" s="280">
        <f ca="1">$R$27+($R$27*2*(0.5-RAND()))/100</f>
        <v>2.5826940452938314</v>
      </c>
      <c r="S40" s="280"/>
      <c r="T40" s="290">
        <v>0</v>
      </c>
      <c r="U40" s="290"/>
      <c r="V40" s="5"/>
    </row>
    <row r="41" spans="2:22" s="3" customFormat="1">
      <c r="B41" s="280">
        <f>$B$25</f>
        <v>0</v>
      </c>
      <c r="C41" s="280"/>
      <c r="D41" s="17">
        <f>$D$25</f>
        <v>2</v>
      </c>
      <c r="E41" s="280">
        <f>$E$25</f>
        <v>1</v>
      </c>
      <c r="F41" s="280"/>
      <c r="G41" s="280"/>
      <c r="H41" s="18">
        <f>$H$25</f>
        <v>1</v>
      </c>
      <c r="I41" s="280">
        <v>0</v>
      </c>
      <c r="J41" s="280"/>
      <c r="K41" s="14"/>
      <c r="L41" s="14"/>
      <c r="M41" s="14"/>
      <c r="N41" s="14"/>
      <c r="O41" s="293">
        <v>0</v>
      </c>
      <c r="P41" s="293"/>
      <c r="Q41" s="14"/>
      <c r="R41" s="14"/>
      <c r="S41" s="14"/>
      <c r="T41" s="14"/>
      <c r="U41" s="14"/>
      <c r="V41" s="5"/>
    </row>
    <row r="42" spans="2:22" s="3" customFormat="1">
      <c r="B42" s="280">
        <f>$B$26</f>
        <v>0</v>
      </c>
      <c r="C42" s="280"/>
      <c r="D42" s="124">
        <f>$D$26</f>
        <v>4.5</v>
      </c>
      <c r="E42" s="280">
        <f>$E$26</f>
        <v>0</v>
      </c>
      <c r="F42" s="280"/>
      <c r="G42" s="280"/>
      <c r="H42" s="16">
        <f>$H$26</f>
        <v>0</v>
      </c>
      <c r="I42" s="280">
        <v>0</v>
      </c>
      <c r="J42" s="280"/>
      <c r="K42" s="14"/>
      <c r="L42" s="14"/>
      <c r="M42" s="14"/>
      <c r="N42" s="13" t="s">
        <v>46</v>
      </c>
      <c r="O42" s="279">
        <v>0</v>
      </c>
      <c r="P42" s="279"/>
      <c r="Q42" s="14"/>
      <c r="R42" s="14"/>
      <c r="S42" s="14"/>
      <c r="T42" s="14"/>
      <c r="U42" s="14"/>
      <c r="V42" s="5"/>
    </row>
    <row r="43" spans="2:22" s="3" customFormat="1">
      <c r="B43" s="286">
        <f>ROUND($B$27,0)</f>
        <v>0</v>
      </c>
      <c r="C43" s="286"/>
      <c r="D43" s="21">
        <f>ROUND(($D$27),0)</f>
        <v>762</v>
      </c>
      <c r="E43" s="286">
        <f>ROUND($E$27,0)</f>
        <v>431</v>
      </c>
      <c r="F43" s="286">
        <f t="shared" ref="F43:G43" si="14">F$27</f>
        <v>0</v>
      </c>
      <c r="G43" s="286">
        <f t="shared" si="14"/>
        <v>0</v>
      </c>
      <c r="H43" s="21">
        <f>ROUND($H$27,0)</f>
        <v>674</v>
      </c>
      <c r="I43" s="286">
        <f>$I$27</f>
        <v>0</v>
      </c>
      <c r="J43" s="286">
        <f t="shared" ref="J43" si="15">J$27</f>
        <v>0</v>
      </c>
      <c r="K43" s="21">
        <f>$K$27</f>
        <v>340</v>
      </c>
      <c r="L43" s="21">
        <f>$L$27</f>
        <v>0</v>
      </c>
      <c r="M43" s="21">
        <f>$M$27</f>
        <v>100</v>
      </c>
      <c r="N43" s="25">
        <f>$N$27</f>
        <v>0</v>
      </c>
      <c r="O43" s="286">
        <f>$O$27</f>
        <v>145.998531625</v>
      </c>
      <c r="P43" s="286">
        <f t="shared" ref="P43" si="16">P$27</f>
        <v>0</v>
      </c>
      <c r="Q43" s="16">
        <f>$Q$27</f>
        <v>0</v>
      </c>
      <c r="R43" s="280">
        <f>$R$27</f>
        <v>2.6</v>
      </c>
      <c r="S43" s="280">
        <f t="shared" ref="S43" si="17">S$27</f>
        <v>0</v>
      </c>
      <c r="T43" s="289">
        <f>$T$27</f>
        <v>0</v>
      </c>
      <c r="U43" s="289">
        <f t="shared" ref="U43" si="18">U$27</f>
        <v>0</v>
      </c>
      <c r="V43" s="5"/>
    </row>
    <row r="44" spans="2:22" s="3" customFormat="1">
      <c r="B44" s="286">
        <f ca="1">$B$27+($B$27*1*(0.5-RAND()))/100</f>
        <v>0</v>
      </c>
      <c r="C44" s="286"/>
      <c r="D44" s="21">
        <f ca="1">$D$27+($D$27*1*(0.5-RAND()))/100</f>
        <v>758.84064512282089</v>
      </c>
      <c r="E44" s="286">
        <f ca="1">$E$27+($E$27*1*(0.5-RAND()))/100</f>
        <v>432.43987275604184</v>
      </c>
      <c r="F44" s="286"/>
      <c r="G44" s="286"/>
      <c r="H44" s="21">
        <f ca="1">$H$27+($H$27*1*(0.5-RAND()))/100</f>
        <v>677.01419479064668</v>
      </c>
      <c r="I44" s="286">
        <f ca="1">$I$27+($I$27*1*(0.5-RAND()))/100</f>
        <v>0</v>
      </c>
      <c r="J44" s="286"/>
      <c r="K44" s="21">
        <f ca="1">$K$27+($K$27*2*(0.5-RAND()))/100</f>
        <v>337.05604449000583</v>
      </c>
      <c r="L44" s="21">
        <f ca="1">$L$27+($L$27*2*(0.5-RAND()))/100</f>
        <v>0</v>
      </c>
      <c r="M44" s="21">
        <f ca="1">$M$27+($M$27*2*(0.5-RAND()))/100</f>
        <v>99.683503689650465</v>
      </c>
      <c r="N44" s="25">
        <v>0</v>
      </c>
      <c r="O44" s="286">
        <f ca="1">$O$27+($O$27*(Load!$BM$46+Load!$BO$46*RAND()))/100</f>
        <v>147.76200938440354</v>
      </c>
      <c r="P44" s="286"/>
      <c r="Q44" s="16">
        <v>0</v>
      </c>
      <c r="R44" s="280">
        <f ca="1">$R$27+($R$27*2*(0.5-RAND()))/100</f>
        <v>2.6162012342016427</v>
      </c>
      <c r="S44" s="280"/>
      <c r="T44" s="290">
        <v>0</v>
      </c>
      <c r="U44" s="290"/>
      <c r="V44" s="5"/>
    </row>
    <row r="45" spans="2:22" s="3" customFormat="1">
      <c r="B45" s="280">
        <f>$B$25</f>
        <v>0</v>
      </c>
      <c r="C45" s="280"/>
      <c r="D45" s="17">
        <f>$D$25</f>
        <v>2</v>
      </c>
      <c r="E45" s="280">
        <f>$E$25</f>
        <v>1</v>
      </c>
      <c r="F45" s="280"/>
      <c r="G45" s="280"/>
      <c r="H45" s="18">
        <f>$H$25</f>
        <v>1</v>
      </c>
      <c r="I45" s="280">
        <v>0</v>
      </c>
      <c r="J45" s="280"/>
      <c r="K45" s="14"/>
      <c r="L45" s="14"/>
      <c r="M45" s="14"/>
      <c r="N45" s="14"/>
      <c r="O45" s="293">
        <v>0</v>
      </c>
      <c r="P45" s="293"/>
      <c r="Q45" s="14"/>
      <c r="R45" s="14"/>
      <c r="S45" s="14"/>
      <c r="T45" s="14"/>
      <c r="U45" s="14"/>
      <c r="V45" s="5"/>
    </row>
    <row r="46" spans="2:22" s="3" customFormat="1">
      <c r="B46" s="280">
        <f>$B$26</f>
        <v>0</v>
      </c>
      <c r="C46" s="280"/>
      <c r="D46" s="124">
        <f>$D$26</f>
        <v>4.5</v>
      </c>
      <c r="E46" s="280">
        <f>$E$26</f>
        <v>0</v>
      </c>
      <c r="F46" s="280"/>
      <c r="G46" s="280"/>
      <c r="H46" s="16">
        <f>$H$26</f>
        <v>0</v>
      </c>
      <c r="I46" s="280">
        <v>0</v>
      </c>
      <c r="J46" s="280"/>
      <c r="K46" s="14"/>
      <c r="L46" s="14"/>
      <c r="M46" s="14"/>
      <c r="N46" s="13" t="s">
        <v>46</v>
      </c>
      <c r="O46" s="279">
        <v>0</v>
      </c>
      <c r="P46" s="279"/>
      <c r="Q46" s="14"/>
      <c r="R46" s="14"/>
      <c r="S46" s="14"/>
      <c r="T46" s="14"/>
      <c r="U46" s="14"/>
      <c r="V46" s="5"/>
    </row>
    <row r="47" spans="2:22" s="3" customFormat="1">
      <c r="B47" s="286">
        <f>ROUND($B$27,0)</f>
        <v>0</v>
      </c>
      <c r="C47" s="286"/>
      <c r="D47" s="21">
        <f>ROUND(($D$27),0)</f>
        <v>762</v>
      </c>
      <c r="E47" s="286">
        <f>ROUND($E$27,0)</f>
        <v>431</v>
      </c>
      <c r="F47" s="286">
        <f t="shared" ref="F47:G47" si="19">F$27</f>
        <v>0</v>
      </c>
      <c r="G47" s="286">
        <f t="shared" si="19"/>
        <v>0</v>
      </c>
      <c r="H47" s="21">
        <f>ROUND($H$27,0)</f>
        <v>674</v>
      </c>
      <c r="I47" s="286">
        <f>$I$27</f>
        <v>0</v>
      </c>
      <c r="J47" s="286">
        <f t="shared" ref="J47" si="20">J$27</f>
        <v>0</v>
      </c>
      <c r="K47" s="21">
        <f>$K$27</f>
        <v>340</v>
      </c>
      <c r="L47" s="21">
        <f>$L$27</f>
        <v>0</v>
      </c>
      <c r="M47" s="21">
        <f>$M$27</f>
        <v>100</v>
      </c>
      <c r="N47" s="25">
        <f>$N$27</f>
        <v>0</v>
      </c>
      <c r="O47" s="286">
        <f>$O$27</f>
        <v>145.998531625</v>
      </c>
      <c r="P47" s="286">
        <f t="shared" ref="P47" si="21">P$27</f>
        <v>0</v>
      </c>
      <c r="Q47" s="16">
        <f>$Q$27</f>
        <v>0</v>
      </c>
      <c r="R47" s="280">
        <f>$R$27</f>
        <v>2.6</v>
      </c>
      <c r="S47" s="280">
        <f t="shared" ref="S47" si="22">S$27</f>
        <v>0</v>
      </c>
      <c r="T47" s="289">
        <f>$T$27</f>
        <v>0</v>
      </c>
      <c r="U47" s="289">
        <f t="shared" ref="U47" si="23">U$27</f>
        <v>0</v>
      </c>
      <c r="V47" s="5"/>
    </row>
    <row r="48" spans="2:22" s="3" customFormat="1">
      <c r="B48" s="286">
        <f ca="1">$B$27+($B$27*1*(0.5-RAND()))/100</f>
        <v>0</v>
      </c>
      <c r="C48" s="286"/>
      <c r="D48" s="21">
        <f ca="1">$D$27+($D$27*1*(0.5-RAND()))/100</f>
        <v>760.8626179786288</v>
      </c>
      <c r="E48" s="286">
        <f ca="1">$E$27+($E$27*1*(0.5-RAND()))/100</f>
        <v>432.46520565223233</v>
      </c>
      <c r="F48" s="286"/>
      <c r="G48" s="286"/>
      <c r="H48" s="21">
        <f ca="1">$H$27+($H$27*1*(0.5-RAND()))/100</f>
        <v>677.13817990352902</v>
      </c>
      <c r="I48" s="286">
        <f ca="1">$I$27+($I$27*1*(0.5-RAND()))/100</f>
        <v>0</v>
      </c>
      <c r="J48" s="286"/>
      <c r="K48" s="21">
        <f ca="1">$K$27+($K$27*2*(0.5-RAND()))/100</f>
        <v>342.34959226674403</v>
      </c>
      <c r="L48" s="21">
        <f ca="1">$L$27+($L$27*2*(0.5-RAND()))/100</f>
        <v>0</v>
      </c>
      <c r="M48" s="21">
        <f ca="1">$M$27+($M$27*2*(0.5-RAND()))/100</f>
        <v>100.43701643385876</v>
      </c>
      <c r="N48" s="25">
        <v>0</v>
      </c>
      <c r="O48" s="286">
        <f ca="1">$O$27+($O$27*(Load!$BM$46+Load!$BO$46*RAND()))/100</f>
        <v>147.13220018675366</v>
      </c>
      <c r="P48" s="286"/>
      <c r="Q48" s="16">
        <v>0</v>
      </c>
      <c r="R48" s="280">
        <f ca="1">$R$27+($R$27*2*(0.5-RAND()))/100</f>
        <v>2.5762888750643489</v>
      </c>
      <c r="S48" s="280"/>
      <c r="T48" s="290">
        <v>0</v>
      </c>
      <c r="U48" s="290"/>
      <c r="V48" s="5"/>
    </row>
    <row r="49" spans="2:22" s="3" customFormat="1">
      <c r="B49" s="280">
        <f>$B$25</f>
        <v>0</v>
      </c>
      <c r="C49" s="280"/>
      <c r="D49" s="17">
        <f>$D$25</f>
        <v>2</v>
      </c>
      <c r="E49" s="280">
        <f>$E$25</f>
        <v>1</v>
      </c>
      <c r="F49" s="280"/>
      <c r="G49" s="280"/>
      <c r="H49" s="18">
        <f>$H$25</f>
        <v>1</v>
      </c>
      <c r="I49" s="280">
        <v>0</v>
      </c>
      <c r="J49" s="280"/>
      <c r="K49" s="14"/>
      <c r="L49" s="14"/>
      <c r="M49" s="14"/>
      <c r="N49" s="14"/>
      <c r="O49" s="293">
        <v>0</v>
      </c>
      <c r="P49" s="293"/>
      <c r="Q49" s="14"/>
      <c r="R49" s="14"/>
      <c r="S49" s="14"/>
      <c r="T49" s="14"/>
      <c r="U49" s="14"/>
      <c r="V49" s="5"/>
    </row>
    <row r="50" spans="2:22" s="3" customFormat="1">
      <c r="B50" s="280">
        <f>$B$26</f>
        <v>0</v>
      </c>
      <c r="C50" s="280"/>
      <c r="D50" s="124">
        <f>$D$26</f>
        <v>4.5</v>
      </c>
      <c r="E50" s="280">
        <f>$E$26</f>
        <v>0</v>
      </c>
      <c r="F50" s="280"/>
      <c r="G50" s="280"/>
      <c r="H50" s="16">
        <f>$H$26</f>
        <v>0</v>
      </c>
      <c r="I50" s="280">
        <v>0</v>
      </c>
      <c r="J50" s="280"/>
      <c r="K50" s="14"/>
      <c r="L50" s="14"/>
      <c r="M50" s="14"/>
      <c r="N50" s="13" t="s">
        <v>46</v>
      </c>
      <c r="O50" s="279">
        <v>0</v>
      </c>
      <c r="P50" s="279"/>
      <c r="Q50" s="14"/>
      <c r="R50" s="14"/>
      <c r="S50" s="14"/>
      <c r="T50" s="14"/>
      <c r="U50" s="14"/>
      <c r="V50" s="5"/>
    </row>
    <row r="51" spans="2:22" s="3" customFormat="1">
      <c r="B51" s="286">
        <f>ROUND($B$27,0)</f>
        <v>0</v>
      </c>
      <c r="C51" s="286"/>
      <c r="D51" s="21">
        <f>ROUND(($D$27),0)</f>
        <v>762</v>
      </c>
      <c r="E51" s="286">
        <f>ROUND($E$27,0)</f>
        <v>431</v>
      </c>
      <c r="F51" s="286">
        <f t="shared" ref="F51:G51" si="24">F$27</f>
        <v>0</v>
      </c>
      <c r="G51" s="286">
        <f t="shared" si="24"/>
        <v>0</v>
      </c>
      <c r="H51" s="21">
        <f>ROUND($H$27,0)</f>
        <v>674</v>
      </c>
      <c r="I51" s="286">
        <f>$I$27</f>
        <v>0</v>
      </c>
      <c r="J51" s="286">
        <f t="shared" ref="J51" si="25">J$27</f>
        <v>0</v>
      </c>
      <c r="K51" s="21">
        <f>$K$27</f>
        <v>340</v>
      </c>
      <c r="L51" s="21">
        <f>$L$27</f>
        <v>0</v>
      </c>
      <c r="M51" s="21">
        <f>$M$27</f>
        <v>100</v>
      </c>
      <c r="N51" s="25">
        <f>$N$27</f>
        <v>0</v>
      </c>
      <c r="O51" s="286">
        <f>$O$27</f>
        <v>145.998531625</v>
      </c>
      <c r="P51" s="286">
        <f t="shared" ref="P51" si="26">P$27</f>
        <v>0</v>
      </c>
      <c r="Q51" s="16">
        <f>$Q$27</f>
        <v>0</v>
      </c>
      <c r="R51" s="280">
        <f>$R$27</f>
        <v>2.6</v>
      </c>
      <c r="S51" s="280">
        <f t="shared" ref="S51" si="27">S$27</f>
        <v>0</v>
      </c>
      <c r="T51" s="289">
        <f>$T$27</f>
        <v>0</v>
      </c>
      <c r="U51" s="289">
        <f t="shared" ref="U51" si="28">U$27</f>
        <v>0</v>
      </c>
      <c r="V51" s="5"/>
    </row>
    <row r="52" spans="2:22" s="3" customFormat="1">
      <c r="B52" s="286">
        <f ca="1">$B$27+($B$27*1*(0.5-RAND()))/100</f>
        <v>0</v>
      </c>
      <c r="C52" s="286"/>
      <c r="D52" s="21">
        <f ca="1">$D$27+($D$27*1*(0.5-RAND()))/100</f>
        <v>760.12655438765569</v>
      </c>
      <c r="E52" s="286">
        <f ca="1">$E$27+($E$27*1*(0.5-RAND()))/100</f>
        <v>431.47648771376038</v>
      </c>
      <c r="F52" s="286"/>
      <c r="G52" s="286"/>
      <c r="H52" s="21">
        <f ca="1">$H$27+($H$27*1*(0.5-RAND()))/100</f>
        <v>674.3162908084621</v>
      </c>
      <c r="I52" s="286">
        <f ca="1">$I$27+($I$27*1*(0.5-RAND()))/100</f>
        <v>0</v>
      </c>
      <c r="J52" s="286"/>
      <c r="K52" s="21">
        <f ca="1">$K$27+($K$27*2*(0.5-RAND()))/100</f>
        <v>343.30937962635227</v>
      </c>
      <c r="L52" s="21">
        <f ca="1">$L$27+($L$27*2*(0.5-RAND()))/100</f>
        <v>0</v>
      </c>
      <c r="M52" s="21">
        <f ca="1">$M$27+($M$27*2*(0.5-RAND()))/100</f>
        <v>100.186966177141</v>
      </c>
      <c r="N52" s="25">
        <v>0</v>
      </c>
      <c r="O52" s="286">
        <f ca="1">$O$27+($O$27*(Load!$BM$46+Load!$BO$46*RAND()))/100</f>
        <v>147.86846484306309</v>
      </c>
      <c r="P52" s="286"/>
      <c r="Q52" s="16">
        <v>0</v>
      </c>
      <c r="R52" s="280">
        <f ca="1">$R$27+($R$27*2*(0.5-RAND()))/100</f>
        <v>2.6017047938139894</v>
      </c>
      <c r="S52" s="280"/>
      <c r="T52" s="290">
        <v>0</v>
      </c>
      <c r="U52" s="290"/>
      <c r="V52" s="5"/>
    </row>
    <row r="53" spans="2:22" s="3" customFormat="1">
      <c r="B53" s="280">
        <f>$B$25</f>
        <v>0</v>
      </c>
      <c r="C53" s="280"/>
      <c r="D53" s="17">
        <f>$D$25</f>
        <v>2</v>
      </c>
      <c r="E53" s="280">
        <f>$E$25</f>
        <v>1</v>
      </c>
      <c r="F53" s="280"/>
      <c r="G53" s="280"/>
      <c r="H53" s="18">
        <f>$H$25</f>
        <v>1</v>
      </c>
      <c r="I53" s="280">
        <v>0</v>
      </c>
      <c r="J53" s="280"/>
      <c r="K53" s="14"/>
      <c r="L53" s="14"/>
      <c r="M53" s="14"/>
      <c r="N53" s="14"/>
      <c r="O53" s="293">
        <v>0</v>
      </c>
      <c r="P53" s="293"/>
      <c r="Q53" s="14"/>
      <c r="R53" s="14"/>
      <c r="S53" s="14"/>
      <c r="T53" s="14"/>
      <c r="U53" s="14"/>
      <c r="V53" s="5"/>
    </row>
    <row r="54" spans="2:22" s="3" customFormat="1">
      <c r="B54" s="280">
        <f>$B$26</f>
        <v>0</v>
      </c>
      <c r="C54" s="280"/>
      <c r="D54" s="124">
        <f>$D$26</f>
        <v>4.5</v>
      </c>
      <c r="E54" s="280">
        <f>$E$26</f>
        <v>0</v>
      </c>
      <c r="F54" s="280"/>
      <c r="G54" s="280"/>
      <c r="H54" s="16">
        <f>$H$26</f>
        <v>0</v>
      </c>
      <c r="I54" s="280">
        <v>0</v>
      </c>
      <c r="J54" s="280"/>
      <c r="K54" s="14"/>
      <c r="L54" s="14"/>
      <c r="M54" s="14"/>
      <c r="N54" s="13" t="s">
        <v>46</v>
      </c>
      <c r="O54" s="279">
        <v>0</v>
      </c>
      <c r="P54" s="279"/>
      <c r="Q54" s="14"/>
      <c r="R54" s="14"/>
      <c r="S54" s="14"/>
      <c r="T54" s="14"/>
      <c r="U54" s="14"/>
      <c r="V54" s="5"/>
    </row>
    <row r="55" spans="2:22" s="3" customFormat="1">
      <c r="B55" s="286">
        <f>ROUND($B$27,0)</f>
        <v>0</v>
      </c>
      <c r="C55" s="286"/>
      <c r="D55" s="21">
        <f>ROUND(($D$27),0)</f>
        <v>762</v>
      </c>
      <c r="E55" s="286">
        <f>ROUND($E$27,0)</f>
        <v>431</v>
      </c>
      <c r="F55" s="286">
        <f t="shared" ref="F55:G55" si="29">F$27</f>
        <v>0</v>
      </c>
      <c r="G55" s="286">
        <f t="shared" si="29"/>
        <v>0</v>
      </c>
      <c r="H55" s="21">
        <f>ROUND($H$27,0)</f>
        <v>674</v>
      </c>
      <c r="I55" s="286">
        <f>$I$27</f>
        <v>0</v>
      </c>
      <c r="J55" s="286">
        <f t="shared" ref="J55" si="30">J$27</f>
        <v>0</v>
      </c>
      <c r="K55" s="21">
        <f>$K$27</f>
        <v>340</v>
      </c>
      <c r="L55" s="21">
        <f>$L$27</f>
        <v>0</v>
      </c>
      <c r="M55" s="21">
        <f>$M$27</f>
        <v>100</v>
      </c>
      <c r="N55" s="25">
        <f>$N$27</f>
        <v>0</v>
      </c>
      <c r="O55" s="286">
        <f>$O$27</f>
        <v>145.998531625</v>
      </c>
      <c r="P55" s="286">
        <f t="shared" ref="P55" si="31">P$27</f>
        <v>0</v>
      </c>
      <c r="Q55" s="16">
        <f>$Q$27</f>
        <v>0</v>
      </c>
      <c r="R55" s="280">
        <f>$R$27</f>
        <v>2.6</v>
      </c>
      <c r="S55" s="280">
        <f t="shared" ref="S55" si="32">S$27</f>
        <v>0</v>
      </c>
      <c r="T55" s="289">
        <f>$T$27</f>
        <v>0</v>
      </c>
      <c r="U55" s="289">
        <f t="shared" ref="U55" si="33">U$27</f>
        <v>0</v>
      </c>
      <c r="V55" s="5"/>
    </row>
    <row r="56" spans="2:22" s="3" customFormat="1">
      <c r="B56" s="286">
        <f ca="1">$B$27+($B$27*1*(0.5-RAND()))/100</f>
        <v>0</v>
      </c>
      <c r="C56" s="286"/>
      <c r="D56" s="21">
        <f ca="1">$D$27+($D$27*1*(0.5-RAND()))/100</f>
        <v>759.46106156371218</v>
      </c>
      <c r="E56" s="286">
        <f ca="1">$E$27+($E$27*1*(0.5-RAND()))/100</f>
        <v>430.77855217573818</v>
      </c>
      <c r="F56" s="286"/>
      <c r="G56" s="286"/>
      <c r="H56" s="21">
        <f ca="1">$H$27+($H$27*1*(0.5-RAND()))/100</f>
        <v>673.64854347357891</v>
      </c>
      <c r="I56" s="286">
        <f ca="1">$I$27+($I$27*1*(0.5-RAND()))/100</f>
        <v>0</v>
      </c>
      <c r="J56" s="286"/>
      <c r="K56" s="21">
        <f ca="1">$K$27+($K$27*2*(0.5-RAND()))/100</f>
        <v>341.09526291194697</v>
      </c>
      <c r="L56" s="21">
        <f ca="1">$L$27+($L$27*2*(0.5-RAND()))/100</f>
        <v>0</v>
      </c>
      <c r="M56" s="21">
        <f ca="1">$M$27+($M$27*2*(0.5-RAND()))/100</f>
        <v>100.93967273224561</v>
      </c>
      <c r="N56" s="25">
        <v>0</v>
      </c>
      <c r="O56" s="286">
        <f ca="1">$O$27+($O$27*(Load!$BM$46+Load!$BO$46*RAND()))/100</f>
        <v>148.60400579267622</v>
      </c>
      <c r="P56" s="286"/>
      <c r="Q56" s="16">
        <v>0</v>
      </c>
      <c r="R56" s="280">
        <f ca="1">$R$27+($R$27*2*(0.5-RAND()))/100</f>
        <v>2.6252058155209501</v>
      </c>
      <c r="S56" s="280"/>
      <c r="T56" s="290">
        <v>0</v>
      </c>
      <c r="U56" s="290"/>
      <c r="V56" s="5"/>
    </row>
    <row r="57" spans="2:22" s="3" customFormat="1">
      <c r="B57" s="280">
        <f>$B$25</f>
        <v>0</v>
      </c>
      <c r="C57" s="280"/>
      <c r="D57" s="17">
        <f>$D$25</f>
        <v>2</v>
      </c>
      <c r="E57" s="280">
        <f>$E$25</f>
        <v>1</v>
      </c>
      <c r="F57" s="280"/>
      <c r="G57" s="280"/>
      <c r="H57" s="18">
        <f>$H$25</f>
        <v>1</v>
      </c>
      <c r="I57" s="280">
        <v>0</v>
      </c>
      <c r="J57" s="280"/>
      <c r="K57" s="14"/>
      <c r="L57" s="14"/>
      <c r="M57" s="14"/>
      <c r="N57" s="14"/>
      <c r="O57" s="293">
        <v>0</v>
      </c>
      <c r="P57" s="293"/>
      <c r="Q57" s="14"/>
      <c r="R57" s="14"/>
      <c r="S57" s="14"/>
      <c r="T57" s="14"/>
      <c r="U57" s="14"/>
      <c r="V57" s="5"/>
    </row>
    <row r="58" spans="2:22" s="3" customFormat="1">
      <c r="B58" s="280">
        <f>$B$26</f>
        <v>0</v>
      </c>
      <c r="C58" s="280"/>
      <c r="D58" s="124">
        <f>$D$26</f>
        <v>4.5</v>
      </c>
      <c r="E58" s="280">
        <f>$E$26</f>
        <v>0</v>
      </c>
      <c r="F58" s="280"/>
      <c r="G58" s="280"/>
      <c r="H58" s="16">
        <f>$H$26</f>
        <v>0</v>
      </c>
      <c r="I58" s="280">
        <v>0</v>
      </c>
      <c r="J58" s="280"/>
      <c r="K58" s="14"/>
      <c r="L58" s="14"/>
      <c r="M58" s="14"/>
      <c r="N58" s="13" t="s">
        <v>46</v>
      </c>
      <c r="O58" s="279">
        <v>0</v>
      </c>
      <c r="P58" s="279"/>
      <c r="Q58" s="14"/>
      <c r="R58" s="14"/>
      <c r="S58" s="14"/>
      <c r="T58" s="14"/>
      <c r="U58" s="14"/>
      <c r="V58" s="5"/>
    </row>
    <row r="59" spans="2:22" s="3" customFormat="1">
      <c r="B59" s="286">
        <f>ROUND($B$27,0)</f>
        <v>0</v>
      </c>
      <c r="C59" s="286"/>
      <c r="D59" s="21">
        <f>ROUND(($D$27),0)</f>
        <v>762</v>
      </c>
      <c r="E59" s="286">
        <f>ROUND($E$27,0)</f>
        <v>431</v>
      </c>
      <c r="F59" s="286">
        <f t="shared" ref="F59:G59" si="34">F$27</f>
        <v>0</v>
      </c>
      <c r="G59" s="286">
        <f t="shared" si="34"/>
        <v>0</v>
      </c>
      <c r="H59" s="21">
        <f>ROUND($H$27,0)</f>
        <v>674</v>
      </c>
      <c r="I59" s="286">
        <f>$I$27</f>
        <v>0</v>
      </c>
      <c r="J59" s="286">
        <f t="shared" ref="J59" si="35">J$27</f>
        <v>0</v>
      </c>
      <c r="K59" s="21">
        <f>$K$27</f>
        <v>340</v>
      </c>
      <c r="L59" s="21">
        <f>$L$27</f>
        <v>0</v>
      </c>
      <c r="M59" s="21">
        <f>$M$27</f>
        <v>100</v>
      </c>
      <c r="N59" s="25">
        <f>$N$27</f>
        <v>0</v>
      </c>
      <c r="O59" s="286">
        <f>$O$27</f>
        <v>145.998531625</v>
      </c>
      <c r="P59" s="286">
        <f t="shared" ref="P59" si="36">P$27</f>
        <v>0</v>
      </c>
      <c r="Q59" s="16">
        <f>$Q$27</f>
        <v>0</v>
      </c>
      <c r="R59" s="280">
        <f>$R$27</f>
        <v>2.6</v>
      </c>
      <c r="S59" s="280">
        <f t="shared" ref="S59" si="37">S$27</f>
        <v>0</v>
      </c>
      <c r="T59" s="289">
        <f>$T$27</f>
        <v>0</v>
      </c>
      <c r="U59" s="289">
        <f t="shared" ref="U59" si="38">U$27</f>
        <v>0</v>
      </c>
      <c r="V59" s="5"/>
    </row>
    <row r="60" spans="2:22" s="3" customFormat="1">
      <c r="B60" s="286">
        <f ca="1">$B$27+($B$27*1*(0.5-RAND()))/100</f>
        <v>0</v>
      </c>
      <c r="C60" s="286"/>
      <c r="D60" s="21">
        <f ca="1">$D$27+($D$27*1*(0.5-RAND()))/100</f>
        <v>763.42809097645988</v>
      </c>
      <c r="E60" s="286">
        <f ca="1">$E$27+($E$27*1*(0.5-RAND()))/100</f>
        <v>431.14461445109566</v>
      </c>
      <c r="F60" s="286"/>
      <c r="G60" s="286"/>
      <c r="H60" s="21">
        <f ca="1">$H$27+($H$27*1*(0.5-RAND()))/100</f>
        <v>677.2752497176964</v>
      </c>
      <c r="I60" s="286">
        <f ca="1">$I$27+($I$27*1*(0.5-RAND()))/100</f>
        <v>0</v>
      </c>
      <c r="J60" s="286"/>
      <c r="K60" s="21">
        <f ca="1">$K$27+($K$27*2*(0.5-RAND()))/100</f>
        <v>340.26059400736352</v>
      </c>
      <c r="L60" s="21">
        <f ca="1">$L$27+($L$27*2*(0.5-RAND()))/100</f>
        <v>0</v>
      </c>
      <c r="M60" s="21">
        <f ca="1">$M$27+($M$27*2*(0.5-RAND()))/100</f>
        <v>100.96456953227282</v>
      </c>
      <c r="N60" s="25">
        <v>0</v>
      </c>
      <c r="O60" s="286">
        <f ca="1">$O$27+($O$27*(Load!$BM$46+Load!$BO$46*RAND()))/100</f>
        <v>144.13121023383516</v>
      </c>
      <c r="P60" s="286"/>
      <c r="Q60" s="16">
        <v>0</v>
      </c>
      <c r="R60" s="280">
        <f ca="1">$R$27+($R$27*2*(0.5-RAND()))/100</f>
        <v>2.5812154998524162</v>
      </c>
      <c r="S60" s="280"/>
      <c r="T60" s="290">
        <v>0</v>
      </c>
      <c r="U60" s="290"/>
      <c r="V60" s="5"/>
    </row>
    <row r="61" spans="2:22" s="3" customFormat="1">
      <c r="B61" s="280">
        <f>$B$25</f>
        <v>0</v>
      </c>
      <c r="C61" s="280"/>
      <c r="D61" s="17">
        <f>$D$25</f>
        <v>2</v>
      </c>
      <c r="E61" s="280">
        <f>$E$25</f>
        <v>1</v>
      </c>
      <c r="F61" s="280"/>
      <c r="G61" s="280"/>
      <c r="H61" s="18">
        <f>$H$25</f>
        <v>1</v>
      </c>
      <c r="I61" s="280">
        <v>0</v>
      </c>
      <c r="J61" s="280"/>
      <c r="K61" s="14"/>
      <c r="L61" s="14"/>
      <c r="M61" s="14"/>
      <c r="N61" s="14"/>
      <c r="O61" s="293">
        <v>0</v>
      </c>
      <c r="P61" s="293"/>
      <c r="Q61" s="14"/>
      <c r="R61" s="14"/>
      <c r="S61" s="14"/>
      <c r="T61" s="14"/>
      <c r="U61" s="14"/>
      <c r="V61" s="5"/>
    </row>
    <row r="62" spans="2:22" s="3" customFormat="1">
      <c r="B62" s="280">
        <f>$B$26</f>
        <v>0</v>
      </c>
      <c r="C62" s="280"/>
      <c r="D62" s="124">
        <f>$D$26</f>
        <v>4.5</v>
      </c>
      <c r="E62" s="280">
        <f>$E$26</f>
        <v>0</v>
      </c>
      <c r="F62" s="280"/>
      <c r="G62" s="280"/>
      <c r="H62" s="16">
        <f>$H$26</f>
        <v>0</v>
      </c>
      <c r="I62" s="280">
        <v>0</v>
      </c>
      <c r="J62" s="280"/>
      <c r="K62" s="14"/>
      <c r="L62" s="14"/>
      <c r="M62" s="14"/>
      <c r="N62" s="13" t="s">
        <v>46</v>
      </c>
      <c r="O62" s="279">
        <v>0</v>
      </c>
      <c r="P62" s="279"/>
      <c r="Q62" s="14"/>
      <c r="R62" s="14"/>
      <c r="S62" s="14"/>
      <c r="T62" s="14"/>
      <c r="U62" s="14"/>
      <c r="V62" s="5"/>
    </row>
    <row r="63" spans="2:22" s="3" customFormat="1">
      <c r="B63" s="286">
        <f>ROUND($B$27,0)</f>
        <v>0</v>
      </c>
      <c r="C63" s="286"/>
      <c r="D63" s="21">
        <f>ROUND(($D$27),0)</f>
        <v>762</v>
      </c>
      <c r="E63" s="286">
        <f>ROUND($E$27,0)</f>
        <v>431</v>
      </c>
      <c r="F63" s="286">
        <f t="shared" ref="F63:G63" si="39">F$27</f>
        <v>0</v>
      </c>
      <c r="G63" s="286">
        <f t="shared" si="39"/>
        <v>0</v>
      </c>
      <c r="H63" s="21">
        <f>ROUND($H$27,0)</f>
        <v>674</v>
      </c>
      <c r="I63" s="286">
        <f>$I$27</f>
        <v>0</v>
      </c>
      <c r="J63" s="286">
        <f t="shared" ref="J63" si="40">J$27</f>
        <v>0</v>
      </c>
      <c r="K63" s="21">
        <f>$K$27</f>
        <v>340</v>
      </c>
      <c r="L63" s="21">
        <f>$L$27</f>
        <v>0</v>
      </c>
      <c r="M63" s="21">
        <f>$M$27</f>
        <v>100</v>
      </c>
      <c r="N63" s="25">
        <f>$N$27</f>
        <v>0</v>
      </c>
      <c r="O63" s="286">
        <f>$O$27</f>
        <v>145.998531625</v>
      </c>
      <c r="P63" s="286">
        <f t="shared" ref="P63" si="41">P$27</f>
        <v>0</v>
      </c>
      <c r="Q63" s="16">
        <f>$Q$27</f>
        <v>0</v>
      </c>
      <c r="R63" s="280">
        <f>$R$27</f>
        <v>2.6</v>
      </c>
      <c r="S63" s="280">
        <f t="shared" ref="S63" si="42">S$27</f>
        <v>0</v>
      </c>
      <c r="T63" s="289">
        <f>$T$27</f>
        <v>0</v>
      </c>
      <c r="U63" s="289">
        <f t="shared" ref="U63" si="43">U$27</f>
        <v>0</v>
      </c>
      <c r="V63" s="5"/>
    </row>
    <row r="64" spans="2:22" s="3" customFormat="1">
      <c r="B64" s="286">
        <f ca="1">$B$27+($B$27*1*(0.5-RAND()))/100</f>
        <v>0</v>
      </c>
      <c r="C64" s="286"/>
      <c r="D64" s="21">
        <f ca="1">$D$27+($D$27*1*(0.5-RAND()))/100</f>
        <v>761.56332299411406</v>
      </c>
      <c r="E64" s="286">
        <f ca="1">$E$27+($E$27*1*(0.5-RAND()))/100</f>
        <v>430.91027335785162</v>
      </c>
      <c r="F64" s="286"/>
      <c r="G64" s="286"/>
      <c r="H64" s="21">
        <f ca="1">$H$27+($H$27*1*(0.5-RAND()))/100</f>
        <v>674.22518786101818</v>
      </c>
      <c r="I64" s="286">
        <f ca="1">$I$27+($I$27*1*(0.5-RAND()))/100</f>
        <v>0</v>
      </c>
      <c r="J64" s="286"/>
      <c r="K64" s="21">
        <f ca="1">$K$27+($K$27*2*(0.5-RAND()))/100</f>
        <v>342.92562697998778</v>
      </c>
      <c r="L64" s="21">
        <f ca="1">$L$27+($L$27*2*(0.5-RAND()))/100</f>
        <v>0</v>
      </c>
      <c r="M64" s="21">
        <f ca="1">$M$27+($M$27*2*(0.5-RAND()))/100</f>
        <v>99.490399075031434</v>
      </c>
      <c r="N64" s="25">
        <v>0</v>
      </c>
      <c r="O64" s="286">
        <f ca="1">$O$27+($O$27*(Load!$BM$46+Load!$BO$46*RAND()))/100</f>
        <v>148.85647714238763</v>
      </c>
      <c r="P64" s="286"/>
      <c r="Q64" s="16">
        <v>0</v>
      </c>
      <c r="R64" s="280">
        <f ca="1">$R$27+($R$27*2*(0.5-RAND()))/100</f>
        <v>2.5976106849638141</v>
      </c>
      <c r="S64" s="280"/>
      <c r="T64" s="290">
        <v>0</v>
      </c>
      <c r="U64" s="290"/>
      <c r="V64" s="5"/>
    </row>
    <row r="65" spans="2:21" s="4" customFormat="1" ht="18" customHeight="1">
      <c r="B65" s="22" t="s">
        <v>47</v>
      </c>
      <c r="C65" s="22"/>
      <c r="D65" s="23"/>
      <c r="E65" s="24"/>
      <c r="F65" s="24"/>
      <c r="G65" s="24"/>
      <c r="H65" s="23"/>
      <c r="I65" s="24"/>
      <c r="J65" s="24"/>
      <c r="K65" s="23"/>
      <c r="L65" s="23"/>
      <c r="M65" s="23"/>
      <c r="N65" s="28" t="s">
        <v>48</v>
      </c>
      <c r="O65" s="288">
        <v>0</v>
      </c>
      <c r="P65" s="288"/>
      <c r="Q65" s="23"/>
      <c r="R65" s="23"/>
      <c r="S65" s="23"/>
      <c r="T65" s="23"/>
      <c r="U65" s="23"/>
    </row>
    <row r="66" spans="2:21" s="3" customFormat="1" ht="17.5" customHeight="1">
      <c r="B66" s="285">
        <f>B51+B47+B43+B39+B35+B31+B27+B55+B59+B63</f>
        <v>0</v>
      </c>
      <c r="C66" s="285"/>
      <c r="D66" s="21">
        <f>ROUND((D51+D47+D43+D39+D35+D31+D27+D55+D59+D63),0)</f>
        <v>7620</v>
      </c>
      <c r="E66" s="286">
        <f>E51+E47+E43+E39+E35+E31+E27+E55+E59+E63</f>
        <v>4309.6934999999994</v>
      </c>
      <c r="F66" s="286"/>
      <c r="G66" s="286"/>
      <c r="H66" s="21">
        <f>H51+H47+H43+H39+H35+H31+H27+H55+H59+H63</f>
        <v>6740.2581</v>
      </c>
      <c r="I66" s="286">
        <f>I51+I47+I43+I39+I35+I31+I27+I55+I59+I63</f>
        <v>0</v>
      </c>
      <c r="J66" s="286"/>
      <c r="K66" s="21">
        <f>K51+K47+K43+K39+K35+K31+K27+K55+K59+K63</f>
        <v>3400</v>
      </c>
      <c r="L66" s="21">
        <f>L51+L47+L43+L39+L35+L31+L27+L55+L59+L63</f>
        <v>0</v>
      </c>
      <c r="M66" s="21">
        <f>M51+M47+M43+M39+M35+M31+M27+M55+M59+M63</f>
        <v>1000</v>
      </c>
      <c r="N66" s="21">
        <v>0</v>
      </c>
      <c r="O66" s="287">
        <f>O51+O47+O43+O39+O35+O31+O27+O55+O59+O63</f>
        <v>1459.9853162499996</v>
      </c>
      <c r="P66" s="287"/>
      <c r="Q66" s="35">
        <f>Q51+Q47+Q43+Q39+Q35+Q31+Q27+Q55+Q59+Q63</f>
        <v>0</v>
      </c>
      <c r="R66" s="284">
        <f>R51+R47+R43+R39+R35+R31+R27+R55+R59+R63</f>
        <v>26.000000000000004</v>
      </c>
      <c r="S66" s="284"/>
      <c r="T66" s="284">
        <f>T51+T47+T43+T39+T35+T31+T27+T55+T59+T63</f>
        <v>0</v>
      </c>
      <c r="U66" s="284"/>
    </row>
    <row r="67" spans="2:21" s="3" customFormat="1" ht="22" customHeight="1">
      <c r="B67" s="2" t="s">
        <v>49</v>
      </c>
      <c r="C67" s="5"/>
      <c r="D67" s="14"/>
      <c r="E67" s="17"/>
      <c r="F67" s="17"/>
      <c r="G67" s="17"/>
      <c r="H67" s="14"/>
      <c r="I67" s="17"/>
      <c r="J67" s="17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</row>
    <row r="68" spans="2:21" s="3" customFormat="1" ht="17.5" customHeight="1">
      <c r="B68" s="285">
        <f ca="1">B52+B48+B44+B40+B36+B32+B28+B56+B60+B64</f>
        <v>0</v>
      </c>
      <c r="C68" s="285"/>
      <c r="D68" s="21">
        <f ca="1">D52+D48+D44+D40+D36+D32+D28+D56+D60+D64</f>
        <v>7604.5651104049439</v>
      </c>
      <c r="E68" s="286">
        <f ca="1">E52+E48+E44+E40+E36+E32+E28+E56+E60+E64</f>
        <v>4313.4645153461115</v>
      </c>
      <c r="F68" s="286"/>
      <c r="G68" s="286"/>
      <c r="H68" s="21">
        <f ca="1">H52+H48+H44+H40+H36+H32+H28+H56+H60+H64</f>
        <v>6750.5109776898316</v>
      </c>
      <c r="I68" s="286">
        <f ca="1">I52+I48+I44+I40+I36+I32+I28+I56+I60+I64</f>
        <v>0</v>
      </c>
      <c r="J68" s="286"/>
      <c r="K68" s="21">
        <f ca="1">K52+K48+K44+K40+K36+K32+K28+K56+K60+K64</f>
        <v>3410.5477274888926</v>
      </c>
      <c r="L68" s="21">
        <f ca="1">L52+L48+L44+L40+L36+L32+L28+L56+L60+L64</f>
        <v>0</v>
      </c>
      <c r="M68" s="21">
        <f ca="1">M52+M48+M44+M40+M36+M32+M28+M56+M60+M64</f>
        <v>1001.3778364554265</v>
      </c>
      <c r="N68" s="21">
        <f ca="1">N52+N48+N44+N40+N36+N32+N28+N56+N60+N64</f>
        <v>0</v>
      </c>
      <c r="O68" s="287">
        <f ca="1">O52+O48+O44+O40+O36+O32+O28+O56+O60+O64</f>
        <v>1466.7690230885873</v>
      </c>
      <c r="P68" s="287"/>
      <c r="Q68" s="35">
        <f>Q52+Q48+Q44+Q40+Q36+Q32+Q28+Q56+Q60+Q64</f>
        <v>0</v>
      </c>
      <c r="R68" s="284">
        <f ca="1">R52+R48+R44+R40+R36+R32+R28+R56+R60+R64</f>
        <v>25.941729427616295</v>
      </c>
      <c r="S68" s="284"/>
      <c r="T68" s="284">
        <f>T52+T48+T44+T40+T36+T32+T28+T56+T60+T64</f>
        <v>0</v>
      </c>
      <c r="U68" s="284">
        <f t="shared" ref="U68" si="44">U52+U48+U44+U40+U36+U32+U28</f>
        <v>0</v>
      </c>
    </row>
    <row r="69" spans="2:21" s="3" customFormat="1" ht="2.5" customHeight="1">
      <c r="B69" s="283"/>
      <c r="C69" s="283"/>
      <c r="D69" s="283"/>
      <c r="E69" s="283"/>
      <c r="F69" s="283"/>
      <c r="G69" s="283"/>
      <c r="H69" s="283"/>
      <c r="I69" s="283"/>
      <c r="J69" s="283"/>
      <c r="K69" s="283"/>
      <c r="L69" s="283"/>
      <c r="M69" s="283"/>
      <c r="N69" s="283"/>
      <c r="O69" s="283"/>
      <c r="P69" s="283"/>
      <c r="Q69" s="283"/>
      <c r="R69" s="283"/>
      <c r="S69" s="283"/>
      <c r="T69" s="283"/>
      <c r="U69" s="283"/>
    </row>
    <row r="70" spans="2:21" s="3" customFormat="1" ht="9.65" customHeight="1">
      <c r="B70" s="5"/>
      <c r="C70" s="5"/>
      <c r="D70" s="26"/>
      <c r="E70" s="17"/>
      <c r="F70" s="17"/>
      <c r="G70" s="17"/>
      <c r="H70" s="26"/>
      <c r="I70" s="17"/>
      <c r="J70" s="17"/>
      <c r="K70" s="26"/>
      <c r="L70" s="26"/>
      <c r="M70" s="26"/>
      <c r="N70" s="26"/>
      <c r="O70" s="26"/>
      <c r="P70" s="26"/>
      <c r="Q70" s="36"/>
      <c r="S70" s="26"/>
      <c r="T70" s="26"/>
      <c r="U70" s="26"/>
    </row>
    <row r="71" spans="2:21" s="3" customFormat="1">
      <c r="B71" s="5"/>
      <c r="C71" s="5"/>
      <c r="D71" s="26"/>
      <c r="E71" s="17"/>
      <c r="F71" s="17"/>
      <c r="G71" s="17"/>
      <c r="H71" s="26"/>
      <c r="I71" s="17"/>
      <c r="J71" s="17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</row>
    <row r="72" spans="2:21" s="3" customFormat="1">
      <c r="B72" s="5"/>
      <c r="C72" s="5"/>
      <c r="D72" s="26"/>
      <c r="E72" s="17"/>
      <c r="F72" s="17"/>
      <c r="G72" s="17"/>
      <c r="H72" s="26"/>
      <c r="I72" s="17"/>
      <c r="J72" s="17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</row>
    <row r="73" spans="2:21" s="3" customFormat="1">
      <c r="B73" s="5"/>
      <c r="C73" s="5"/>
      <c r="D73" s="26"/>
      <c r="E73" s="17"/>
      <c r="F73" s="17"/>
      <c r="G73" s="17"/>
      <c r="H73" s="26"/>
      <c r="I73" s="17"/>
      <c r="J73" s="17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</row>
    <row r="74" spans="2:21" s="3" customFormat="1">
      <c r="B74" s="5"/>
      <c r="C74" s="5"/>
      <c r="D74" s="26"/>
      <c r="E74" s="17"/>
      <c r="F74" s="17"/>
      <c r="G74" s="17"/>
      <c r="H74" s="26"/>
      <c r="I74" s="17"/>
      <c r="J74" s="17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</row>
    <row r="75" spans="2:21" s="3" customFormat="1">
      <c r="B75" s="279"/>
      <c r="C75" s="279"/>
      <c r="D75" s="26"/>
      <c r="E75" s="280"/>
      <c r="F75" s="280"/>
      <c r="G75" s="280"/>
      <c r="H75" s="26"/>
      <c r="I75" s="280"/>
      <c r="J75" s="280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</row>
    <row r="76" spans="2:21" s="3" customFormat="1">
      <c r="B76" s="279"/>
      <c r="C76" s="279"/>
      <c r="D76" s="26"/>
      <c r="E76" s="280"/>
      <c r="F76" s="280"/>
      <c r="G76" s="280"/>
      <c r="H76" s="26"/>
      <c r="I76" s="280"/>
      <c r="J76" s="280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</row>
    <row r="77" spans="2:21" s="3" customFormat="1">
      <c r="B77" s="279"/>
      <c r="C77" s="279"/>
      <c r="D77" s="26"/>
      <c r="E77" s="26"/>
      <c r="F77" s="26"/>
      <c r="G77" s="26"/>
      <c r="H77" s="26"/>
      <c r="I77" s="280"/>
      <c r="J77" s="280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</row>
    <row r="78" spans="2:21" s="3" customFormat="1">
      <c r="B78" s="279"/>
      <c r="C78" s="279"/>
      <c r="D78" s="26"/>
      <c r="E78" s="26"/>
      <c r="F78" s="26"/>
      <c r="G78" s="26"/>
      <c r="H78" s="26"/>
      <c r="I78" s="280"/>
      <c r="J78" s="280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</row>
    <row r="79" spans="2:21" s="3" customFormat="1">
      <c r="B79" s="279"/>
      <c r="C79" s="279"/>
      <c r="D79" s="26"/>
      <c r="E79" s="26"/>
      <c r="F79" s="26"/>
      <c r="G79" s="26"/>
      <c r="H79" s="26"/>
      <c r="I79" s="280"/>
      <c r="J79" s="280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</row>
    <row r="80" spans="2:21" s="3" customFormat="1">
      <c r="B80" s="279"/>
      <c r="C80" s="279"/>
      <c r="D80" s="26"/>
      <c r="E80" s="26"/>
      <c r="F80" s="26"/>
      <c r="G80" s="26"/>
      <c r="H80" s="26"/>
      <c r="I80" s="280"/>
      <c r="J80" s="280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</row>
    <row r="81" spans="2:21" s="3" customFormat="1">
      <c r="B81" s="26"/>
      <c r="C81" s="26"/>
      <c r="D81" s="26"/>
      <c r="E81" s="26"/>
      <c r="F81" s="26"/>
      <c r="G81" s="26"/>
      <c r="H81" s="26"/>
      <c r="I81" s="281"/>
      <c r="J81" s="281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</row>
    <row r="82" spans="2:21"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</row>
    <row r="83" spans="2:21"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</row>
    <row r="84" spans="2:21"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</row>
    <row r="85" spans="2:21"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</row>
    <row r="86" spans="2:21"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</row>
    <row r="87" spans="2:21"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</row>
    <row r="88" spans="2:21"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</row>
    <row r="89" spans="2:21"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</row>
    <row r="90" spans="2:21"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</row>
    <row r="91" spans="2:21"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</row>
    <row r="92" spans="2:21"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</row>
  </sheetData>
  <sheetProtection selectLockedCells="1"/>
  <mergeCells count="254">
    <mergeCell ref="G9:J9"/>
    <mergeCell ref="G10:J10"/>
    <mergeCell ref="J11:K11"/>
    <mergeCell ref="B20:J20"/>
    <mergeCell ref="K20:M20"/>
    <mergeCell ref="N20:P20"/>
    <mergeCell ref="B2:U2"/>
    <mergeCell ref="E3:Q4"/>
    <mergeCell ref="B7:U7"/>
    <mergeCell ref="G8:J8"/>
    <mergeCell ref="P8:R8"/>
    <mergeCell ref="S8:T8"/>
    <mergeCell ref="B23:C23"/>
    <mergeCell ref="E23:G23"/>
    <mergeCell ref="I23:J23"/>
    <mergeCell ref="O23:P23"/>
    <mergeCell ref="R23:S23"/>
    <mergeCell ref="T23:U23"/>
    <mergeCell ref="R20:U20"/>
    <mergeCell ref="B21:C21"/>
    <mergeCell ref="E21:G21"/>
    <mergeCell ref="I21:J21"/>
    <mergeCell ref="O21:P21"/>
    <mergeCell ref="R21:S21"/>
    <mergeCell ref="T21:U21"/>
    <mergeCell ref="R28:S28"/>
    <mergeCell ref="T28:U28"/>
    <mergeCell ref="B27:C27"/>
    <mergeCell ref="E27:G27"/>
    <mergeCell ref="I27:J27"/>
    <mergeCell ref="O27:P27"/>
    <mergeCell ref="R27:S27"/>
    <mergeCell ref="T27:U27"/>
    <mergeCell ref="B25:C25"/>
    <mergeCell ref="E25:G25"/>
    <mergeCell ref="I25:J25"/>
    <mergeCell ref="O25:P25"/>
    <mergeCell ref="B26:C26"/>
    <mergeCell ref="E26:G26"/>
    <mergeCell ref="I26:J26"/>
    <mergeCell ref="O26:P26"/>
    <mergeCell ref="B29:C29"/>
    <mergeCell ref="E29:G29"/>
    <mergeCell ref="I29:J29"/>
    <mergeCell ref="O29:P29"/>
    <mergeCell ref="B30:C30"/>
    <mergeCell ref="E30:G30"/>
    <mergeCell ref="I30:J30"/>
    <mergeCell ref="O30:P30"/>
    <mergeCell ref="B28:C28"/>
    <mergeCell ref="E28:G28"/>
    <mergeCell ref="I28:J28"/>
    <mergeCell ref="O28:P28"/>
    <mergeCell ref="B32:C32"/>
    <mergeCell ref="E32:G32"/>
    <mergeCell ref="I32:J32"/>
    <mergeCell ref="O32:P32"/>
    <mergeCell ref="R32:S32"/>
    <mergeCell ref="T32:U32"/>
    <mergeCell ref="B31:C31"/>
    <mergeCell ref="E31:G31"/>
    <mergeCell ref="I31:J31"/>
    <mergeCell ref="O31:P31"/>
    <mergeCell ref="R31:S31"/>
    <mergeCell ref="T31:U31"/>
    <mergeCell ref="R36:S36"/>
    <mergeCell ref="T36:U36"/>
    <mergeCell ref="B35:C35"/>
    <mergeCell ref="E35:G35"/>
    <mergeCell ref="I35:J35"/>
    <mergeCell ref="O35:P35"/>
    <mergeCell ref="R35:S35"/>
    <mergeCell ref="T35:U35"/>
    <mergeCell ref="B33:C33"/>
    <mergeCell ref="E33:G33"/>
    <mergeCell ref="I33:J33"/>
    <mergeCell ref="O33:P33"/>
    <mergeCell ref="B34:C34"/>
    <mergeCell ref="E34:G34"/>
    <mergeCell ref="I34:J34"/>
    <mergeCell ref="O34:P34"/>
    <mergeCell ref="B37:C37"/>
    <mergeCell ref="E37:G37"/>
    <mergeCell ref="I37:J37"/>
    <mergeCell ref="O37:P37"/>
    <mergeCell ref="B38:C38"/>
    <mergeCell ref="E38:G38"/>
    <mergeCell ref="I38:J38"/>
    <mergeCell ref="O38:P38"/>
    <mergeCell ref="B36:C36"/>
    <mergeCell ref="E36:G36"/>
    <mergeCell ref="I36:J36"/>
    <mergeCell ref="O36:P36"/>
    <mergeCell ref="B40:C40"/>
    <mergeCell ref="E40:G40"/>
    <mergeCell ref="I40:J40"/>
    <mergeCell ref="O40:P40"/>
    <mergeCell ref="R40:S40"/>
    <mergeCell ref="T40:U40"/>
    <mergeCell ref="B39:C39"/>
    <mergeCell ref="E39:G39"/>
    <mergeCell ref="I39:J39"/>
    <mergeCell ref="O39:P39"/>
    <mergeCell ref="R39:S39"/>
    <mergeCell ref="T39:U39"/>
    <mergeCell ref="R44:S44"/>
    <mergeCell ref="T44:U44"/>
    <mergeCell ref="B43:C43"/>
    <mergeCell ref="E43:G43"/>
    <mergeCell ref="I43:J43"/>
    <mergeCell ref="O43:P43"/>
    <mergeCell ref="R43:S43"/>
    <mergeCell ref="T43:U43"/>
    <mergeCell ref="B41:C41"/>
    <mergeCell ref="E41:G41"/>
    <mergeCell ref="I41:J41"/>
    <mergeCell ref="O41:P41"/>
    <mergeCell ref="B42:C42"/>
    <mergeCell ref="E42:G42"/>
    <mergeCell ref="I42:J42"/>
    <mergeCell ref="O42:P42"/>
    <mergeCell ref="B45:C45"/>
    <mergeCell ref="E45:G45"/>
    <mergeCell ref="I45:J45"/>
    <mergeCell ref="O45:P45"/>
    <mergeCell ref="B46:C46"/>
    <mergeCell ref="E46:G46"/>
    <mergeCell ref="I46:J46"/>
    <mergeCell ref="O46:P46"/>
    <mergeCell ref="B44:C44"/>
    <mergeCell ref="E44:G44"/>
    <mergeCell ref="I44:J44"/>
    <mergeCell ref="O44:P44"/>
    <mergeCell ref="B48:C48"/>
    <mergeCell ref="E48:G48"/>
    <mergeCell ref="I48:J48"/>
    <mergeCell ref="O48:P48"/>
    <mergeCell ref="R48:S48"/>
    <mergeCell ref="T48:U48"/>
    <mergeCell ref="B47:C47"/>
    <mergeCell ref="E47:G47"/>
    <mergeCell ref="I47:J47"/>
    <mergeCell ref="O47:P47"/>
    <mergeCell ref="R47:S47"/>
    <mergeCell ref="T47:U47"/>
    <mergeCell ref="R52:S52"/>
    <mergeCell ref="T52:U52"/>
    <mergeCell ref="B51:C51"/>
    <mergeCell ref="E51:G51"/>
    <mergeCell ref="I51:J51"/>
    <mergeCell ref="O51:P51"/>
    <mergeCell ref="R51:S51"/>
    <mergeCell ref="T51:U51"/>
    <mergeCell ref="B49:C49"/>
    <mergeCell ref="E49:G49"/>
    <mergeCell ref="I49:J49"/>
    <mergeCell ref="O49:P49"/>
    <mergeCell ref="B50:C50"/>
    <mergeCell ref="E50:G50"/>
    <mergeCell ref="I50:J50"/>
    <mergeCell ref="O50:P50"/>
    <mergeCell ref="B53:C53"/>
    <mergeCell ref="E53:G53"/>
    <mergeCell ref="I53:J53"/>
    <mergeCell ref="O53:P53"/>
    <mergeCell ref="B54:C54"/>
    <mergeCell ref="E54:G54"/>
    <mergeCell ref="I54:J54"/>
    <mergeCell ref="O54:P54"/>
    <mergeCell ref="B52:C52"/>
    <mergeCell ref="E52:G52"/>
    <mergeCell ref="I52:J52"/>
    <mergeCell ref="O52:P52"/>
    <mergeCell ref="B56:C56"/>
    <mergeCell ref="E56:G56"/>
    <mergeCell ref="I56:J56"/>
    <mergeCell ref="O56:P56"/>
    <mergeCell ref="R56:S56"/>
    <mergeCell ref="T56:U56"/>
    <mergeCell ref="B55:C55"/>
    <mergeCell ref="E55:G55"/>
    <mergeCell ref="I55:J55"/>
    <mergeCell ref="O55:P55"/>
    <mergeCell ref="R55:S55"/>
    <mergeCell ref="T55:U55"/>
    <mergeCell ref="B59:C59"/>
    <mergeCell ref="E59:G59"/>
    <mergeCell ref="I59:J59"/>
    <mergeCell ref="O59:P59"/>
    <mergeCell ref="R59:S59"/>
    <mergeCell ref="T59:U59"/>
    <mergeCell ref="B57:C57"/>
    <mergeCell ref="E57:G57"/>
    <mergeCell ref="I57:J57"/>
    <mergeCell ref="O57:P57"/>
    <mergeCell ref="B58:C58"/>
    <mergeCell ref="E58:G58"/>
    <mergeCell ref="I58:J58"/>
    <mergeCell ref="O58:P58"/>
    <mergeCell ref="R66:S66"/>
    <mergeCell ref="B60:C60"/>
    <mergeCell ref="E60:G60"/>
    <mergeCell ref="I60:J60"/>
    <mergeCell ref="O60:P60"/>
    <mergeCell ref="R60:S60"/>
    <mergeCell ref="T60:U60"/>
    <mergeCell ref="R63:S63"/>
    <mergeCell ref="T63:U63"/>
    <mergeCell ref="B64:C64"/>
    <mergeCell ref="E64:G64"/>
    <mergeCell ref="I64:J64"/>
    <mergeCell ref="O64:P64"/>
    <mergeCell ref="R64:S64"/>
    <mergeCell ref="T64:U64"/>
    <mergeCell ref="O61:P61"/>
    <mergeCell ref="B62:C62"/>
    <mergeCell ref="I81:J81"/>
    <mergeCell ref="B61:C61"/>
    <mergeCell ref="E61:G61"/>
    <mergeCell ref="I61:J61"/>
    <mergeCell ref="B77:C77"/>
    <mergeCell ref="I77:J77"/>
    <mergeCell ref="B78:C78"/>
    <mergeCell ref="I78:J78"/>
    <mergeCell ref="B79:C79"/>
    <mergeCell ref="I79:J79"/>
    <mergeCell ref="B69:U69"/>
    <mergeCell ref="B75:C75"/>
    <mergeCell ref="E75:G75"/>
    <mergeCell ref="I75:J75"/>
    <mergeCell ref="B76:C76"/>
    <mergeCell ref="E76:G76"/>
    <mergeCell ref="I76:J76"/>
    <mergeCell ref="T66:U66"/>
    <mergeCell ref="B68:C68"/>
    <mergeCell ref="E68:G68"/>
    <mergeCell ref="I68:J68"/>
    <mergeCell ref="O68:P68"/>
    <mergeCell ref="R68:S68"/>
    <mergeCell ref="T68:U68"/>
    <mergeCell ref="E62:G62"/>
    <mergeCell ref="I62:J62"/>
    <mergeCell ref="O62:P62"/>
    <mergeCell ref="B63:C63"/>
    <mergeCell ref="E63:G63"/>
    <mergeCell ref="I63:J63"/>
    <mergeCell ref="O63:P63"/>
    <mergeCell ref="B80:C80"/>
    <mergeCell ref="I80:J80"/>
    <mergeCell ref="O65:P65"/>
    <mergeCell ref="B66:C66"/>
    <mergeCell ref="E66:G66"/>
    <mergeCell ref="I66:J66"/>
    <mergeCell ref="O66:P66"/>
  </mergeCells>
  <printOptions horizontalCentered="1"/>
  <pageMargins left="3.9370078740157501E-2" right="3.9370078740157501E-2" top="0.55118110236220497" bottom="0.43307086614173201" header="0.196850393700787" footer="0.31496062992126"/>
  <pageSetup scale="94" orientation="portrait" horizontalDpi="360" verticalDpi="36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B1:AA88"/>
  <sheetViews>
    <sheetView showGridLines="0" showRowColHeaders="0" topLeftCell="A7" workbookViewId="0">
      <selection activeCell="J12" sqref="J12"/>
    </sheetView>
  </sheetViews>
  <sheetFormatPr defaultColWidth="8.7265625" defaultRowHeight="14"/>
  <cols>
    <col min="1" max="1" width="8.7265625" style="5"/>
    <col min="2" max="2" width="2.453125" style="5" customWidth="1"/>
    <col min="3" max="3" width="4.7265625" style="5" customWidth="1"/>
    <col min="4" max="4" width="6.453125" style="5" customWidth="1"/>
    <col min="5" max="7" width="2.54296875" style="5" customWidth="1"/>
    <col min="8" max="8" width="7.453125" style="5" customWidth="1"/>
    <col min="9" max="9" width="2.7265625" style="5" customWidth="1"/>
    <col min="10" max="10" width="4.1796875" style="5" customWidth="1"/>
    <col min="11" max="13" width="8.1796875" style="5" customWidth="1"/>
    <col min="14" max="14" width="9.54296875" style="5" customWidth="1"/>
    <col min="15" max="16" width="4.54296875" style="5" customWidth="1"/>
    <col min="17" max="17" width="10.453125" style="5" customWidth="1"/>
    <col min="18" max="19" width="4.7265625" style="5" customWidth="1"/>
    <col min="20" max="20" width="7.1796875" style="5" customWidth="1"/>
    <col min="21" max="21" width="3.26953125" style="5" customWidth="1"/>
    <col min="22" max="22" width="6.453125" style="5" customWidth="1"/>
    <col min="23" max="23" width="14.1796875" style="5" customWidth="1"/>
    <col min="24" max="27" width="8.7265625" style="5" hidden="1" customWidth="1"/>
    <col min="28" max="16384" width="8.7265625" style="5"/>
  </cols>
  <sheetData>
    <row r="1" spans="2:27" ht="8.15" customHeight="1"/>
    <row r="2" spans="2:27" ht="20">
      <c r="B2" s="300" t="s">
        <v>22</v>
      </c>
      <c r="C2" s="300"/>
      <c r="D2" s="300"/>
      <c r="E2" s="300"/>
      <c r="F2" s="300"/>
      <c r="G2" s="300"/>
      <c r="H2" s="300"/>
      <c r="I2" s="300"/>
      <c r="J2" s="300"/>
      <c r="K2" s="300"/>
      <c r="L2" s="300"/>
      <c r="M2" s="300"/>
      <c r="N2" s="300"/>
      <c r="O2" s="300"/>
      <c r="P2" s="300"/>
      <c r="Q2" s="300"/>
      <c r="R2" s="300"/>
      <c r="S2" s="300"/>
      <c r="T2" s="300"/>
      <c r="U2" s="300"/>
    </row>
    <row r="3" spans="2:27" ht="16" customHeight="1">
      <c r="E3" s="282" t="s">
        <v>23</v>
      </c>
      <c r="F3" s="282"/>
      <c r="G3" s="282"/>
      <c r="H3" s="282"/>
      <c r="I3" s="282"/>
      <c r="J3" s="282"/>
      <c r="K3" s="282"/>
      <c r="L3" s="282"/>
      <c r="M3" s="282"/>
      <c r="N3" s="282"/>
      <c r="O3" s="282"/>
      <c r="P3" s="282"/>
      <c r="Q3" s="282"/>
    </row>
    <row r="4" spans="2:27" ht="16" customHeight="1">
      <c r="E4" s="282"/>
      <c r="F4" s="282"/>
      <c r="G4" s="282"/>
      <c r="H4" s="282"/>
      <c r="I4" s="282"/>
      <c r="J4" s="282"/>
      <c r="K4" s="282"/>
      <c r="L4" s="282"/>
      <c r="M4" s="282"/>
      <c r="N4" s="282"/>
      <c r="O4" s="282"/>
      <c r="P4" s="282"/>
      <c r="Q4" s="282"/>
    </row>
    <row r="5" spans="2:27" ht="16.5" customHeight="1">
      <c r="D5" s="5" t="s">
        <v>24</v>
      </c>
    </row>
    <row r="6" spans="2:27">
      <c r="D6" s="5" t="s">
        <v>25</v>
      </c>
    </row>
    <row r="7" spans="2:27" ht="21.65" customHeight="1">
      <c r="B7" s="296" t="s">
        <v>26</v>
      </c>
      <c r="C7" s="296"/>
      <c r="D7" s="296"/>
      <c r="E7" s="296"/>
      <c r="F7" s="296"/>
      <c r="G7" s="296"/>
      <c r="H7" s="296"/>
      <c r="I7" s="296"/>
      <c r="J7" s="296"/>
      <c r="K7" s="296"/>
      <c r="L7" s="296"/>
      <c r="M7" s="296"/>
      <c r="N7" s="296"/>
      <c r="O7" s="296"/>
      <c r="P7" s="296"/>
      <c r="Q7" s="296"/>
      <c r="R7" s="296"/>
      <c r="S7" s="296"/>
      <c r="T7" s="296"/>
      <c r="U7" s="296"/>
    </row>
    <row r="8" spans="2:27" s="2" customFormat="1" ht="18.649999999999999" customHeight="1">
      <c r="B8" s="6" t="s">
        <v>27</v>
      </c>
      <c r="C8" s="6"/>
      <c r="D8" s="7"/>
      <c r="E8" s="7"/>
      <c r="F8" s="8" t="s">
        <v>28</v>
      </c>
      <c r="G8" s="301">
        <f>Load!J17</f>
        <v>46218</v>
      </c>
      <c r="H8" s="301"/>
      <c r="I8" s="301"/>
      <c r="J8" s="301"/>
      <c r="K8" s="7"/>
      <c r="L8" s="7"/>
      <c r="M8" s="7"/>
      <c r="N8" s="7"/>
      <c r="O8" s="7"/>
      <c r="P8" s="302" t="s">
        <v>29</v>
      </c>
      <c r="Q8" s="302"/>
      <c r="R8" s="302"/>
      <c r="S8" s="303">
        <v>160</v>
      </c>
      <c r="T8" s="303"/>
      <c r="U8" s="7"/>
      <c r="W8" s="41" t="s">
        <v>30</v>
      </c>
      <c r="X8" s="39" t="s">
        <v>72</v>
      </c>
      <c r="Y8" s="39" t="s">
        <v>68</v>
      </c>
      <c r="Z8" s="39" t="s">
        <v>69</v>
      </c>
      <c r="AA8" s="39" t="s">
        <v>70</v>
      </c>
    </row>
    <row r="9" spans="2:27">
      <c r="B9" s="9" t="s">
        <v>3</v>
      </c>
      <c r="C9" s="9"/>
      <c r="D9" s="10"/>
      <c r="E9" s="10"/>
      <c r="F9" s="11" t="s">
        <v>28</v>
      </c>
      <c r="G9" s="298">
        <f>Load!K19</f>
        <v>0.50232638888888892</v>
      </c>
      <c r="H9" s="298"/>
      <c r="I9" s="298"/>
      <c r="J9" s="298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W9" s="42">
        <f>X9+Z10</f>
        <v>1.1238425925925926E-2</v>
      </c>
      <c r="X9" s="40">
        <v>8.9699074074074073E-3</v>
      </c>
      <c r="Y9" s="5">
        <v>0</v>
      </c>
      <c r="Z9" s="5">
        <v>1</v>
      </c>
      <c r="AA9" s="5">
        <v>38</v>
      </c>
    </row>
    <row r="10" spans="2:27">
      <c r="B10" s="9" t="s">
        <v>31</v>
      </c>
      <c r="C10" s="9"/>
      <c r="D10" s="10"/>
      <c r="E10" s="10"/>
      <c r="F10" s="11" t="s">
        <v>28</v>
      </c>
      <c r="G10" s="298">
        <f>G9+W9</f>
        <v>0.51356481481481486</v>
      </c>
      <c r="H10" s="298"/>
      <c r="I10" s="298"/>
      <c r="J10" s="298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Y10" s="17">
        <f>T12-8</f>
        <v>2</v>
      </c>
      <c r="Z10" s="38">
        <f>AA10*Y10</f>
        <v>2.2685185185185187E-3</v>
      </c>
      <c r="AA10" s="37">
        <f>TIME(Y9,Z9,AA9)</f>
        <v>1.1342592592592593E-3</v>
      </c>
    </row>
    <row r="11" spans="2:27" s="2" customFormat="1" ht="20.149999999999999" customHeight="1">
      <c r="B11" s="7"/>
      <c r="C11" s="6" t="s">
        <v>0</v>
      </c>
      <c r="D11" s="7"/>
      <c r="E11" s="7"/>
      <c r="F11" s="7"/>
      <c r="G11" s="7"/>
      <c r="H11" s="7"/>
      <c r="I11" s="6" t="s">
        <v>28</v>
      </c>
      <c r="J11" s="299">
        <f>Load!AN26</f>
        <v>8338</v>
      </c>
      <c r="K11" s="299"/>
      <c r="L11" s="7"/>
      <c r="M11" s="7"/>
      <c r="N11" s="7"/>
      <c r="O11" s="7"/>
      <c r="P11" s="6" t="s">
        <v>1</v>
      </c>
      <c r="Q11" s="7"/>
      <c r="R11" s="7"/>
      <c r="S11" s="6" t="s">
        <v>28</v>
      </c>
      <c r="T11" s="29">
        <f>Load!BN26</f>
        <v>45</v>
      </c>
      <c r="U11" s="30" t="s">
        <v>32</v>
      </c>
      <c r="W11" s="44"/>
    </row>
    <row r="12" spans="2:27" ht="16" customHeight="1">
      <c r="B12" s="10"/>
      <c r="C12" s="9" t="s">
        <v>5</v>
      </c>
      <c r="D12" s="10"/>
      <c r="E12" s="10"/>
      <c r="F12" s="10"/>
      <c r="G12" s="10"/>
      <c r="H12" s="10"/>
      <c r="I12" s="6" t="s">
        <v>28</v>
      </c>
      <c r="J12" s="10" t="str">
        <f>Load!M26</f>
        <v>JHEERNNODHARA SAMITHI ANANTHAPURAM</v>
      </c>
      <c r="K12" s="10"/>
      <c r="L12" s="10"/>
      <c r="M12" s="10"/>
      <c r="N12" s="10"/>
      <c r="O12" s="10"/>
      <c r="P12" s="9" t="s">
        <v>2</v>
      </c>
      <c r="Q12" s="10"/>
      <c r="R12" s="10"/>
      <c r="S12" s="6" t="s">
        <v>28</v>
      </c>
      <c r="T12" s="29">
        <f>Load!AO29</f>
        <v>10</v>
      </c>
      <c r="U12" s="30" t="s">
        <v>32</v>
      </c>
      <c r="W12" s="43" t="str">
        <f>IF(T12&gt;8.01,(IF(T12&lt;9.01,"OK","WRONG QTY")),"WRONG QTY")</f>
        <v>WRONG QTY</v>
      </c>
    </row>
    <row r="13" spans="2:27" ht="16" customHeight="1">
      <c r="B13" s="10"/>
      <c r="C13" s="9" t="s">
        <v>7</v>
      </c>
      <c r="D13" s="10"/>
      <c r="E13" s="10"/>
      <c r="F13" s="10"/>
      <c r="G13" s="10"/>
      <c r="H13" s="10"/>
      <c r="I13" s="6" t="s">
        <v>28</v>
      </c>
      <c r="J13" s="5" t="str">
        <f>Load!M34</f>
        <v>BOVIKANAM</v>
      </c>
      <c r="P13" s="9" t="s">
        <v>4</v>
      </c>
      <c r="Q13" s="10"/>
      <c r="R13" s="10"/>
      <c r="S13" s="6" t="s">
        <v>28</v>
      </c>
      <c r="T13" s="29">
        <v>0</v>
      </c>
      <c r="U13" s="30" t="s">
        <v>32</v>
      </c>
      <c r="W13" s="45"/>
    </row>
    <row r="14" spans="2:27" ht="16" customHeight="1">
      <c r="B14" s="10"/>
      <c r="C14" s="9" t="s">
        <v>9</v>
      </c>
      <c r="D14" s="10"/>
      <c r="E14" s="10"/>
      <c r="F14" s="10"/>
      <c r="G14" s="10"/>
      <c r="H14" s="10"/>
      <c r="I14" s="6" t="s">
        <v>28</v>
      </c>
      <c r="J14" s="10" t="str">
        <f>Load!M29</f>
        <v>M 40 A</v>
      </c>
      <c r="K14" s="10"/>
      <c r="L14" s="10"/>
      <c r="M14" s="10"/>
      <c r="N14" s="10"/>
      <c r="O14" s="10"/>
      <c r="P14" s="9" t="s">
        <v>6</v>
      </c>
      <c r="Q14" s="10"/>
      <c r="R14" s="10"/>
      <c r="S14" s="6" t="s">
        <v>28</v>
      </c>
      <c r="T14" s="29">
        <f>Load!BE26</f>
        <v>31</v>
      </c>
      <c r="U14" s="30" t="s">
        <v>32</v>
      </c>
    </row>
    <row r="15" spans="2:27" ht="16" customHeight="1">
      <c r="B15" s="10"/>
      <c r="C15" s="9" t="s">
        <v>10</v>
      </c>
      <c r="D15" s="10"/>
      <c r="E15" s="10"/>
      <c r="F15" s="10"/>
      <c r="G15" s="10"/>
      <c r="H15" s="10"/>
      <c r="I15" s="6" t="s">
        <v>28</v>
      </c>
      <c r="J15" s="10">
        <f>Load!M32</f>
        <v>0</v>
      </c>
      <c r="K15" s="10"/>
      <c r="L15" s="10"/>
      <c r="M15" s="10"/>
      <c r="N15" s="10"/>
      <c r="O15" s="10"/>
      <c r="P15" s="9" t="s">
        <v>33</v>
      </c>
      <c r="Q15" s="10"/>
      <c r="R15" s="10"/>
      <c r="S15" s="6" t="s">
        <v>28</v>
      </c>
      <c r="T15" s="29">
        <v>1</v>
      </c>
      <c r="U15" s="30" t="s">
        <v>32</v>
      </c>
    </row>
    <row r="16" spans="2:27" ht="16" customHeight="1">
      <c r="B16" s="10"/>
      <c r="C16" s="9" t="s">
        <v>12</v>
      </c>
      <c r="D16" s="10"/>
      <c r="E16" s="10"/>
      <c r="F16" s="10"/>
      <c r="G16" s="10"/>
      <c r="H16" s="10"/>
      <c r="I16" s="6" t="s">
        <v>28</v>
      </c>
      <c r="J16" s="10" t="str">
        <f>Load!BG29</f>
        <v>KL14 AF 2789</v>
      </c>
      <c r="K16" s="10"/>
      <c r="L16" s="10"/>
      <c r="M16" s="10"/>
      <c r="N16" s="10"/>
      <c r="O16" s="10"/>
      <c r="P16" s="9" t="s">
        <v>34</v>
      </c>
      <c r="Q16" s="10"/>
      <c r="R16" s="10"/>
      <c r="S16" s="6" t="s">
        <v>28</v>
      </c>
      <c r="T16" s="29">
        <f>T12/9</f>
        <v>1.1111111111111112</v>
      </c>
      <c r="U16" s="30" t="s">
        <v>32</v>
      </c>
    </row>
    <row r="17" spans="2:22" ht="16" customHeight="1">
      <c r="B17" s="10"/>
      <c r="C17" s="9" t="s">
        <v>11</v>
      </c>
      <c r="D17" s="10"/>
      <c r="E17" s="10"/>
      <c r="F17" s="10"/>
      <c r="G17" s="10"/>
      <c r="H17" s="10"/>
      <c r="I17" s="6" t="s">
        <v>28</v>
      </c>
      <c r="J17" s="10">
        <f>Load!AZ32</f>
        <v>0</v>
      </c>
      <c r="K17" s="10"/>
      <c r="L17" s="10"/>
      <c r="M17" s="10"/>
      <c r="N17" s="10"/>
      <c r="O17" s="10"/>
      <c r="P17" s="9" t="s">
        <v>35</v>
      </c>
      <c r="Q17" s="10"/>
      <c r="R17" s="10"/>
      <c r="S17" s="10"/>
      <c r="T17" s="10">
        <v>0</v>
      </c>
      <c r="U17" s="31" t="s">
        <v>36</v>
      </c>
    </row>
    <row r="18" spans="2:22">
      <c r="C18" s="9" t="s">
        <v>8</v>
      </c>
      <c r="D18" s="10"/>
      <c r="E18" s="10"/>
      <c r="F18" s="10"/>
      <c r="G18" s="10"/>
      <c r="H18" s="10"/>
      <c r="I18" s="6" t="s">
        <v>28</v>
      </c>
      <c r="J18" s="10">
        <f>Load!AZ34</f>
        <v>0</v>
      </c>
      <c r="K18" s="10"/>
      <c r="L18" s="10"/>
      <c r="M18" s="10"/>
      <c r="N18" s="10"/>
      <c r="O18" s="10"/>
    </row>
    <row r="19" spans="2:22">
      <c r="C19" s="9" t="s">
        <v>37</v>
      </c>
      <c r="D19" s="10"/>
      <c r="E19" s="10"/>
      <c r="F19" s="10"/>
      <c r="G19" s="10"/>
      <c r="H19" s="10"/>
      <c r="I19" s="6" t="s">
        <v>28</v>
      </c>
      <c r="J19" s="10" t="s">
        <v>25</v>
      </c>
      <c r="K19" s="10"/>
      <c r="L19" s="10"/>
      <c r="M19" s="10"/>
      <c r="N19" s="10"/>
      <c r="O19" s="10"/>
    </row>
    <row r="20" spans="2:22" ht="22" customHeight="1">
      <c r="B20" s="296" t="s">
        <v>38</v>
      </c>
      <c r="C20" s="296"/>
      <c r="D20" s="296"/>
      <c r="E20" s="296"/>
      <c r="F20" s="296"/>
      <c r="G20" s="296"/>
      <c r="H20" s="296"/>
      <c r="I20" s="296"/>
      <c r="J20" s="296"/>
      <c r="K20" s="296" t="s">
        <v>39</v>
      </c>
      <c r="L20" s="296"/>
      <c r="M20" s="296"/>
      <c r="N20" s="296" t="s">
        <v>40</v>
      </c>
      <c r="O20" s="296"/>
      <c r="P20" s="296"/>
      <c r="Q20" s="32" t="s">
        <v>41</v>
      </c>
      <c r="R20" s="296" t="s">
        <v>42</v>
      </c>
      <c r="S20" s="296"/>
      <c r="T20" s="296"/>
      <c r="U20" s="296"/>
    </row>
    <row r="21" spans="2:22" ht="14.5" customHeight="1">
      <c r="B21" s="297" t="str">
        <f>Load!W45</f>
        <v>M SAND</v>
      </c>
      <c r="C21" s="297"/>
      <c r="D21" s="12" t="str">
        <f>Load!AA45</f>
        <v xml:space="preserve">M SAND </v>
      </c>
      <c r="E21" s="293" t="str">
        <f>Load!AE45</f>
        <v>12 MM</v>
      </c>
      <c r="F21" s="293"/>
      <c r="G21" s="293"/>
      <c r="H21" s="14" t="str">
        <f>Load!AG45</f>
        <v>20 MM</v>
      </c>
      <c r="I21" s="293" t="str">
        <f>Load!AJ45</f>
        <v>0</v>
      </c>
      <c r="J21" s="293"/>
      <c r="K21" s="13" t="str">
        <f>Load!AL45</f>
        <v>CEM 1</v>
      </c>
      <c r="L21" s="13" t="str">
        <f>Load!AP45</f>
        <v>CEM 2</v>
      </c>
      <c r="M21" s="13" t="str">
        <f>Load!AR45</f>
        <v>CEM 3</v>
      </c>
      <c r="O21" s="293" t="str">
        <f>Load!BC45</f>
        <v>WATER</v>
      </c>
      <c r="P21" s="293"/>
      <c r="Q21" s="5" t="s">
        <v>43</v>
      </c>
      <c r="R21" s="297" t="str">
        <f>Load!AV45</f>
        <v>ADMIX1</v>
      </c>
      <c r="S21" s="297"/>
      <c r="T21" s="297" t="str">
        <f>Load!AY45</f>
        <v>ADMIX2</v>
      </c>
      <c r="U21" s="297"/>
    </row>
    <row r="22" spans="2:22">
      <c r="B22" s="10" t="s">
        <v>44</v>
      </c>
    </row>
    <row r="23" spans="2:22" s="2" customFormat="1" ht="20.5" customHeight="1">
      <c r="B23" s="294">
        <f>Load!W46</f>
        <v>0</v>
      </c>
      <c r="C23" s="294"/>
      <c r="D23" s="15">
        <f>Load!AA46</f>
        <v>743</v>
      </c>
      <c r="E23" s="295">
        <f>Load!AE46</f>
        <v>435</v>
      </c>
      <c r="F23" s="295"/>
      <c r="G23" s="295"/>
      <c r="H23" s="15">
        <f>Load!AG46</f>
        <v>681</v>
      </c>
      <c r="I23" s="295"/>
      <c r="J23" s="295"/>
      <c r="K23" s="27">
        <f>Load!AL46</f>
        <v>340</v>
      </c>
      <c r="L23" s="27">
        <f>Load!AP46</f>
        <v>0</v>
      </c>
      <c r="M23" s="27">
        <f>Load!AR46</f>
        <v>100</v>
      </c>
      <c r="N23" s="27">
        <v>0</v>
      </c>
      <c r="O23" s="294">
        <f>Load!BC46</f>
        <v>154</v>
      </c>
      <c r="P23" s="294"/>
      <c r="Q23" s="33">
        <v>0</v>
      </c>
      <c r="R23" s="292">
        <f>Load!AV46</f>
        <v>2.6</v>
      </c>
      <c r="S23" s="292"/>
      <c r="T23" s="292">
        <f>Load!AY46</f>
        <v>0</v>
      </c>
      <c r="U23" s="292"/>
    </row>
    <row r="24" spans="2:22" ht="20.149999999999999" customHeight="1">
      <c r="B24" s="5" t="s">
        <v>45</v>
      </c>
    </row>
    <row r="25" spans="2:22">
      <c r="B25" s="280">
        <f>Load!W47</f>
        <v>0</v>
      </c>
      <c r="C25" s="280"/>
      <c r="D25" s="17">
        <f>Load!AA47</f>
        <v>2</v>
      </c>
      <c r="E25" s="280">
        <f>Load!AE47</f>
        <v>1</v>
      </c>
      <c r="F25" s="280"/>
      <c r="G25" s="280"/>
      <c r="H25" s="18">
        <f>Load!AG47</f>
        <v>1</v>
      </c>
      <c r="I25" s="280">
        <v>0</v>
      </c>
      <c r="J25" s="280"/>
      <c r="K25" s="14"/>
      <c r="L25" s="14"/>
      <c r="M25" s="14"/>
      <c r="N25" s="14"/>
      <c r="O25" s="293">
        <v>0</v>
      </c>
      <c r="P25" s="293"/>
      <c r="Q25" s="14"/>
      <c r="R25" s="14"/>
      <c r="S25" s="14"/>
      <c r="T25" s="14"/>
      <c r="U25" s="14"/>
    </row>
    <row r="26" spans="2:22">
      <c r="B26" s="280">
        <f>Load!W48</f>
        <v>0</v>
      </c>
      <c r="C26" s="280"/>
      <c r="D26" s="19">
        <f>Load!AA48</f>
        <v>4.5</v>
      </c>
      <c r="E26" s="280">
        <f>Load!AE48</f>
        <v>0</v>
      </c>
      <c r="F26" s="280"/>
      <c r="G26" s="280"/>
      <c r="H26" s="16">
        <f>Load!AG48</f>
        <v>0</v>
      </c>
      <c r="I26" s="280">
        <v>0</v>
      </c>
      <c r="J26" s="280"/>
      <c r="K26" s="14"/>
      <c r="L26" s="14"/>
      <c r="M26" s="14"/>
      <c r="N26" s="13" t="s">
        <v>46</v>
      </c>
      <c r="O26" s="279">
        <v>0</v>
      </c>
      <c r="P26" s="279"/>
      <c r="Q26" s="14"/>
      <c r="R26" s="14"/>
      <c r="S26" s="14"/>
      <c r="T26" s="14"/>
      <c r="U26" s="14"/>
    </row>
    <row r="27" spans="2:22">
      <c r="B27" s="286">
        <f>(((B26-B25)*(B23*T16))/100)+(((B26-B25)*(((B26-B25)*(B23*T16))/100))/100)+(B23*T16)</f>
        <v>0</v>
      </c>
      <c r="C27" s="286">
        <f t="shared" ref="C27:J27" si="0">(((C26-C25)*C23)/100)+(((C26-C25)*(((C26-C25)*C23)/100))/100)+C23</f>
        <v>0</v>
      </c>
      <c r="D27" s="20">
        <f>(((D26-D25)*(D23*T16))/100)+(((D26-D25)*(((D26-D25)*(D23*T16))/100))/100)+(D23*T16)</f>
        <v>846.71041666666667</v>
      </c>
      <c r="E27" s="286">
        <f>(((E26-E25)*(E23*T16))/100)+(((E26-E25)*(((E26-E25)*(T16*E23))/100))/100)+(T16*E23)</f>
        <v>478.54833333333335</v>
      </c>
      <c r="F27" s="286">
        <f t="shared" si="0"/>
        <v>0</v>
      </c>
      <c r="G27" s="286">
        <f t="shared" si="0"/>
        <v>0</v>
      </c>
      <c r="H27" s="21">
        <f>(((H26-H25)*(T16*H23))/100)+(((H26-H25)*(((H26-H25)*(T16*H23))/100))/100)+(T16*H23)</f>
        <v>749.17566666666676</v>
      </c>
      <c r="I27" s="286">
        <f>(((I26-I25)*(T16*I23))/100)+(((I26-I25)*(((I26-I25)*(T16*I23))/100))/100)+(T16*I23)</f>
        <v>0</v>
      </c>
      <c r="J27" s="286">
        <f t="shared" si="0"/>
        <v>0</v>
      </c>
      <c r="K27" s="21">
        <f>K23*T16</f>
        <v>377.77777777777777</v>
      </c>
      <c r="L27" s="21">
        <f>L23*T16</f>
        <v>0</v>
      </c>
      <c r="M27" s="21">
        <f>M23*T16</f>
        <v>111.11111111111111</v>
      </c>
      <c r="N27" s="25">
        <v>0</v>
      </c>
      <c r="O27" s="291">
        <f>(T16*O23)-(((B27*B26/100)-(B27*B25/100))+((D27*D26/100)-(D27*D25/100))+((E27*E26/100)-(E27*E25/100))+((H27*H26/100)-(H27*H25/100)))</f>
        <v>162.22059069444447</v>
      </c>
      <c r="P27" s="291"/>
      <c r="Q27" s="34">
        <v>0</v>
      </c>
      <c r="R27" s="280">
        <f>R23*T16</f>
        <v>2.8888888888888893</v>
      </c>
      <c r="S27" s="280"/>
      <c r="T27" s="289">
        <f>T23*T16</f>
        <v>0</v>
      </c>
      <c r="U27" s="289"/>
    </row>
    <row r="28" spans="2:22">
      <c r="B28" s="286">
        <f ca="1">$B$27+($B$27*1*(0.5-RAND()))/100</f>
        <v>0</v>
      </c>
      <c r="C28" s="286"/>
      <c r="D28" s="21">
        <f ca="1">$D$27+($D$27*1*(0.5-RAND()))/100</f>
        <v>848.6840935335423</v>
      </c>
      <c r="E28" s="286">
        <f ca="1">$E$27+($E$27*1*(0.5-RAND()))/100</f>
        <v>479.07870579361213</v>
      </c>
      <c r="F28" s="286"/>
      <c r="G28" s="286"/>
      <c r="H28" s="21">
        <f ca="1">$H$27+($H$27*1*(0.5-RAND()))/100</f>
        <v>749.69181479459303</v>
      </c>
      <c r="I28" s="286">
        <f ca="1">$I$27+($I$27*1*(0.5-RAND()))/100</f>
        <v>0</v>
      </c>
      <c r="J28" s="286"/>
      <c r="K28" s="21">
        <f ca="1">$K$27+($K$27*2*(0.5-RAND()))/100</f>
        <v>376.6318367862666</v>
      </c>
      <c r="L28" s="21">
        <f ca="1">$L$27+($L$27*2*(0.5-RAND()))/100</f>
        <v>0</v>
      </c>
      <c r="M28" s="21">
        <f ca="1">$M$27+($M$27*2*(0.5-RAND()))/100</f>
        <v>110.39974801862444</v>
      </c>
      <c r="N28" s="25">
        <f ca="1">N27+(N27*1*(0.5-RAND()))/100</f>
        <v>0</v>
      </c>
      <c r="O28" s="286">
        <f ca="1">$O$27+($O$27*2*(0.5-RAND()))/100</f>
        <v>163.25165579353478</v>
      </c>
      <c r="P28" s="286"/>
      <c r="Q28" s="34">
        <v>0</v>
      </c>
      <c r="R28" s="280">
        <f ca="1">$R$27+($R$27*2*(0.5-RAND()))/100</f>
        <v>2.8957035810220919</v>
      </c>
      <c r="S28" s="280"/>
      <c r="T28" s="290">
        <v>0</v>
      </c>
      <c r="U28" s="290"/>
    </row>
    <row r="29" spans="2:22">
      <c r="B29" s="280">
        <f>$B$25</f>
        <v>0</v>
      </c>
      <c r="C29" s="280"/>
      <c r="D29" s="17">
        <f>$D$25</f>
        <v>2</v>
      </c>
      <c r="E29" s="280">
        <f>$E$25</f>
        <v>1</v>
      </c>
      <c r="F29" s="280"/>
      <c r="G29" s="280"/>
      <c r="H29" s="18">
        <f>$H$25</f>
        <v>1</v>
      </c>
      <c r="I29" s="280">
        <v>0</v>
      </c>
      <c r="J29" s="280"/>
      <c r="K29" s="14"/>
      <c r="L29" s="14"/>
      <c r="M29" s="14"/>
      <c r="N29" s="14"/>
      <c r="O29" s="293">
        <v>0</v>
      </c>
      <c r="P29" s="293"/>
      <c r="Q29" s="14"/>
      <c r="R29" s="14"/>
      <c r="S29" s="14"/>
      <c r="T29" s="14"/>
      <c r="U29" s="14"/>
    </row>
    <row r="30" spans="2:22">
      <c r="B30" s="280">
        <f>$B$26</f>
        <v>0</v>
      </c>
      <c r="C30" s="280"/>
      <c r="D30" s="19">
        <f>$D$26</f>
        <v>4.5</v>
      </c>
      <c r="E30" s="280">
        <f>$E$26</f>
        <v>0</v>
      </c>
      <c r="F30" s="280"/>
      <c r="G30" s="280"/>
      <c r="H30" s="16">
        <f>$H$26</f>
        <v>0</v>
      </c>
      <c r="I30" s="280">
        <v>0</v>
      </c>
      <c r="J30" s="280"/>
      <c r="K30" s="14"/>
      <c r="L30" s="14"/>
      <c r="M30" s="14"/>
      <c r="N30" s="13" t="s">
        <v>46</v>
      </c>
      <c r="O30" s="279">
        <v>0</v>
      </c>
      <c r="P30" s="279"/>
      <c r="Q30" s="14"/>
      <c r="R30" s="14"/>
      <c r="S30" s="14"/>
      <c r="T30" s="14"/>
      <c r="U30" s="14"/>
    </row>
    <row r="31" spans="2:22" s="3" customFormat="1">
      <c r="B31" s="286">
        <f>ROUND($B$27,0)</f>
        <v>0</v>
      </c>
      <c r="C31" s="286"/>
      <c r="D31" s="21">
        <f>ROUND(($D$27),0)</f>
        <v>847</v>
      </c>
      <c r="E31" s="286">
        <f>ROUND($E$27,0)</f>
        <v>479</v>
      </c>
      <c r="F31" s="286">
        <f t="shared" ref="F31:U31" si="1">F$27</f>
        <v>0</v>
      </c>
      <c r="G31" s="286">
        <f t="shared" si="1"/>
        <v>0</v>
      </c>
      <c r="H31" s="21">
        <f>ROUND($H$27,0)</f>
        <v>749</v>
      </c>
      <c r="I31" s="286">
        <f>$I$27</f>
        <v>0</v>
      </c>
      <c r="J31" s="286">
        <f t="shared" si="1"/>
        <v>0</v>
      </c>
      <c r="K31" s="21">
        <f>$K$27</f>
        <v>377.77777777777777</v>
      </c>
      <c r="L31" s="21">
        <f>$L$27</f>
        <v>0</v>
      </c>
      <c r="M31" s="21">
        <f>$M$27</f>
        <v>111.11111111111111</v>
      </c>
      <c r="N31" s="25">
        <f>$N$27</f>
        <v>0</v>
      </c>
      <c r="O31" s="286">
        <f>$O$27</f>
        <v>162.22059069444447</v>
      </c>
      <c r="P31" s="286">
        <f t="shared" si="1"/>
        <v>0</v>
      </c>
      <c r="Q31" s="34">
        <f>$Q$27</f>
        <v>0</v>
      </c>
      <c r="R31" s="280">
        <f>$R$27</f>
        <v>2.8888888888888893</v>
      </c>
      <c r="S31" s="280">
        <f t="shared" si="1"/>
        <v>0</v>
      </c>
      <c r="T31" s="289">
        <f>$T$27</f>
        <v>0</v>
      </c>
      <c r="U31" s="289">
        <f t="shared" si="1"/>
        <v>0</v>
      </c>
      <c r="V31" s="5"/>
    </row>
    <row r="32" spans="2:22" s="3" customFormat="1">
      <c r="B32" s="286">
        <f ca="1">$B$27+($B$27*1*(0.5-RAND()))/100</f>
        <v>0</v>
      </c>
      <c r="C32" s="286"/>
      <c r="D32" s="21">
        <f ca="1">$D$27+($D$27*1*(0.5-RAND()))/100</f>
        <v>847.53761894774652</v>
      </c>
      <c r="E32" s="286">
        <f ca="1">$E$27+($E$27*1*(0.5-RAND()))/100</f>
        <v>478.23664941258113</v>
      </c>
      <c r="F32" s="286"/>
      <c r="G32" s="286"/>
      <c r="H32" s="21">
        <f ca="1">$H$27+($H$27*1*(0.5-RAND()))/100</f>
        <v>748.85237728389075</v>
      </c>
      <c r="I32" s="286">
        <f ca="1">$I$27+($I$27*1*(0.5-RAND()))/100</f>
        <v>0</v>
      </c>
      <c r="J32" s="286"/>
      <c r="K32" s="21">
        <f ca="1">$K$27+($K$27*2*(0.5-RAND()))/100</f>
        <v>379.756392168974</v>
      </c>
      <c r="L32" s="21">
        <f ca="1">$L$27+($L$27*2*(0.5-RAND()))/100</f>
        <v>0</v>
      </c>
      <c r="M32" s="21">
        <f ca="1">$M$27+($M$27*2*(0.5-RAND()))/100</f>
        <v>111.19443069219257</v>
      </c>
      <c r="N32" s="25">
        <v>0</v>
      </c>
      <c r="O32" s="286">
        <f ca="1">$O$27+($O$27*2*(0.5-RAND()))/100</f>
        <v>162.11324340705261</v>
      </c>
      <c r="P32" s="286"/>
      <c r="Q32" s="16">
        <v>0</v>
      </c>
      <c r="R32" s="280">
        <f ca="1">$R$27+($R$27*2*(0.5-RAND()))/100</f>
        <v>2.8782812670941129</v>
      </c>
      <c r="S32" s="280"/>
      <c r="T32" s="290">
        <v>0</v>
      </c>
      <c r="U32" s="290"/>
      <c r="V32" s="5"/>
    </row>
    <row r="33" spans="2:22" s="3" customFormat="1">
      <c r="B33" s="280">
        <f>$B$25</f>
        <v>0</v>
      </c>
      <c r="C33" s="280"/>
      <c r="D33" s="17">
        <f>$D$25</f>
        <v>2</v>
      </c>
      <c r="E33" s="280">
        <f>$E$25</f>
        <v>1</v>
      </c>
      <c r="F33" s="280"/>
      <c r="G33" s="280"/>
      <c r="H33" s="18">
        <f>$H$25</f>
        <v>1</v>
      </c>
      <c r="I33" s="280">
        <v>0</v>
      </c>
      <c r="J33" s="280"/>
      <c r="K33" s="14"/>
      <c r="L33" s="14"/>
      <c r="M33" s="14"/>
      <c r="N33" s="14"/>
      <c r="O33" s="293">
        <v>0</v>
      </c>
      <c r="P33" s="293"/>
      <c r="Q33" s="14"/>
      <c r="R33" s="14"/>
      <c r="S33" s="14"/>
      <c r="T33" s="14"/>
      <c r="U33" s="14"/>
      <c r="V33" s="5"/>
    </row>
    <row r="34" spans="2:22" s="3" customFormat="1">
      <c r="B34" s="280">
        <f>$B$26</f>
        <v>0</v>
      </c>
      <c r="C34" s="280"/>
      <c r="D34" s="19">
        <f>$D$26</f>
        <v>4.5</v>
      </c>
      <c r="E34" s="280">
        <f>$E$26</f>
        <v>0</v>
      </c>
      <c r="F34" s="280"/>
      <c r="G34" s="280"/>
      <c r="H34" s="16">
        <f>$H$26</f>
        <v>0</v>
      </c>
      <c r="I34" s="280">
        <v>0</v>
      </c>
      <c r="J34" s="280"/>
      <c r="K34" s="14"/>
      <c r="L34" s="14"/>
      <c r="M34" s="14"/>
      <c r="N34" s="13" t="s">
        <v>46</v>
      </c>
      <c r="O34" s="279">
        <v>0</v>
      </c>
      <c r="P34" s="279"/>
      <c r="Q34" s="14"/>
      <c r="R34" s="14"/>
      <c r="S34" s="14"/>
      <c r="T34" s="14"/>
      <c r="U34" s="14"/>
      <c r="V34" s="5"/>
    </row>
    <row r="35" spans="2:22" s="3" customFormat="1">
      <c r="B35" s="286">
        <f>ROUND($B$27,0)</f>
        <v>0</v>
      </c>
      <c r="C35" s="286"/>
      <c r="D35" s="21">
        <f>ROUND(($D$27),0)</f>
        <v>847</v>
      </c>
      <c r="E35" s="286">
        <f>ROUND($E$27,0)</f>
        <v>479</v>
      </c>
      <c r="F35" s="286">
        <f t="shared" ref="F35:G35" si="2">F$27</f>
        <v>0</v>
      </c>
      <c r="G35" s="286">
        <f t="shared" si="2"/>
        <v>0</v>
      </c>
      <c r="H35" s="21">
        <f>ROUND($H$27,0)</f>
        <v>749</v>
      </c>
      <c r="I35" s="286">
        <f>$I$27</f>
        <v>0</v>
      </c>
      <c r="J35" s="286">
        <f t="shared" ref="J35" si="3">J$27</f>
        <v>0</v>
      </c>
      <c r="K35" s="21">
        <f>$K$27</f>
        <v>377.77777777777777</v>
      </c>
      <c r="L35" s="21">
        <f>$L$27</f>
        <v>0</v>
      </c>
      <c r="M35" s="21">
        <f>$M$27</f>
        <v>111.11111111111111</v>
      </c>
      <c r="N35" s="25">
        <f>$N$27</f>
        <v>0</v>
      </c>
      <c r="O35" s="286">
        <f>$O$27</f>
        <v>162.22059069444447</v>
      </c>
      <c r="P35" s="286">
        <f t="shared" ref="P35" si="4">P$27</f>
        <v>0</v>
      </c>
      <c r="Q35" s="16">
        <f>$Q$27</f>
        <v>0</v>
      </c>
      <c r="R35" s="280">
        <f>$R$27</f>
        <v>2.8888888888888893</v>
      </c>
      <c r="S35" s="280">
        <f t="shared" ref="S35" si="5">S$27</f>
        <v>0</v>
      </c>
      <c r="T35" s="289">
        <f>$T$27</f>
        <v>0</v>
      </c>
      <c r="U35" s="289">
        <f t="shared" ref="U35" si="6">U$27</f>
        <v>0</v>
      </c>
      <c r="V35" s="5"/>
    </row>
    <row r="36" spans="2:22" s="3" customFormat="1">
      <c r="B36" s="286">
        <f ca="1">$B$27+($B$27*1*(0.5-RAND()))/100</f>
        <v>0</v>
      </c>
      <c r="C36" s="286"/>
      <c r="D36" s="21">
        <f ca="1">$D$27+($D$27*1*(0.5-RAND()))/100</f>
        <v>845.4906890651805</v>
      </c>
      <c r="E36" s="286">
        <f ca="1">$E$27+($E$27*1*(0.5-RAND()))/100</f>
        <v>476.92816118649495</v>
      </c>
      <c r="F36" s="286"/>
      <c r="G36" s="286"/>
      <c r="H36" s="21">
        <f ca="1">$H$27+($H$27*1*(0.5-RAND()))/100</f>
        <v>750.71744946271758</v>
      </c>
      <c r="I36" s="286">
        <f ca="1">$I$27+($I$27*1*(0.5-RAND()))/100</f>
        <v>0</v>
      </c>
      <c r="J36" s="286"/>
      <c r="K36" s="21">
        <f ca="1">$K$27+($K$27*2*(0.5-RAND()))/100</f>
        <v>377.37453456330587</v>
      </c>
      <c r="L36" s="21">
        <f ca="1">$L$27+($L$27*2*(0.5-RAND()))/100</f>
        <v>0</v>
      </c>
      <c r="M36" s="21">
        <f ca="1">$M$27+($M$27*2*(0.5-RAND()))/100</f>
        <v>110.50790407811563</v>
      </c>
      <c r="N36" s="25">
        <v>0</v>
      </c>
      <c r="O36" s="286">
        <f ca="1">$O$27+($O$27*2*(0.5-RAND()))/100</f>
        <v>163.78371815925422</v>
      </c>
      <c r="P36" s="286"/>
      <c r="Q36" s="16">
        <v>0</v>
      </c>
      <c r="R36" s="280">
        <f ca="1">$R$27+($R$27*2*(0.5-RAND()))/100</f>
        <v>2.8755724166872856</v>
      </c>
      <c r="S36" s="280"/>
      <c r="T36" s="290">
        <v>0</v>
      </c>
      <c r="U36" s="290"/>
      <c r="V36" s="5"/>
    </row>
    <row r="37" spans="2:22" s="3" customFormat="1">
      <c r="B37" s="280">
        <f>$B$25</f>
        <v>0</v>
      </c>
      <c r="C37" s="280"/>
      <c r="D37" s="17">
        <f>$D$25</f>
        <v>2</v>
      </c>
      <c r="E37" s="280">
        <f>$E$25</f>
        <v>1</v>
      </c>
      <c r="F37" s="280"/>
      <c r="G37" s="280"/>
      <c r="H37" s="18">
        <f>$H$25</f>
        <v>1</v>
      </c>
      <c r="I37" s="280">
        <v>0</v>
      </c>
      <c r="J37" s="280"/>
      <c r="K37" s="14"/>
      <c r="L37" s="14"/>
      <c r="M37" s="14"/>
      <c r="N37" s="14"/>
      <c r="O37" s="293">
        <v>0</v>
      </c>
      <c r="P37" s="293"/>
      <c r="Q37" s="14"/>
      <c r="R37" s="14"/>
      <c r="S37" s="14"/>
      <c r="T37" s="14"/>
      <c r="U37" s="14"/>
      <c r="V37" s="5"/>
    </row>
    <row r="38" spans="2:22" s="3" customFormat="1">
      <c r="B38" s="280">
        <f>$B$26</f>
        <v>0</v>
      </c>
      <c r="C38" s="280"/>
      <c r="D38" s="19">
        <f>$D$26</f>
        <v>4.5</v>
      </c>
      <c r="E38" s="280">
        <f>$E$26</f>
        <v>0</v>
      </c>
      <c r="F38" s="280"/>
      <c r="G38" s="280"/>
      <c r="H38" s="16">
        <f>$H$26</f>
        <v>0</v>
      </c>
      <c r="I38" s="280">
        <v>0</v>
      </c>
      <c r="J38" s="280"/>
      <c r="K38" s="14"/>
      <c r="L38" s="14"/>
      <c r="M38" s="14"/>
      <c r="N38" s="13" t="s">
        <v>46</v>
      </c>
      <c r="O38" s="279">
        <v>0</v>
      </c>
      <c r="P38" s="279"/>
      <c r="Q38" s="14"/>
      <c r="R38" s="14"/>
      <c r="S38" s="14"/>
      <c r="T38" s="14"/>
      <c r="U38" s="14"/>
      <c r="V38" s="5"/>
    </row>
    <row r="39" spans="2:22" s="3" customFormat="1">
      <c r="B39" s="286">
        <f>ROUND($B$27,0)</f>
        <v>0</v>
      </c>
      <c r="C39" s="286"/>
      <c r="D39" s="21">
        <f>ROUND(($D$27),0)</f>
        <v>847</v>
      </c>
      <c r="E39" s="286">
        <f>ROUND($E$27,0)</f>
        <v>479</v>
      </c>
      <c r="F39" s="286">
        <f t="shared" ref="F39:G39" si="7">F$27</f>
        <v>0</v>
      </c>
      <c r="G39" s="286">
        <f t="shared" si="7"/>
        <v>0</v>
      </c>
      <c r="H39" s="21">
        <f>ROUND($H$27,0)</f>
        <v>749</v>
      </c>
      <c r="I39" s="286">
        <f>$I$27</f>
        <v>0</v>
      </c>
      <c r="J39" s="286">
        <f t="shared" ref="J39" si="8">J$27</f>
        <v>0</v>
      </c>
      <c r="K39" s="21">
        <f>$K$27</f>
        <v>377.77777777777777</v>
      </c>
      <c r="L39" s="21">
        <f>$L$27</f>
        <v>0</v>
      </c>
      <c r="M39" s="21">
        <f>$M$27</f>
        <v>111.11111111111111</v>
      </c>
      <c r="N39" s="25">
        <f>$N$27</f>
        <v>0</v>
      </c>
      <c r="O39" s="286">
        <f>$O$27</f>
        <v>162.22059069444447</v>
      </c>
      <c r="P39" s="286">
        <f t="shared" ref="P39" si="9">P$27</f>
        <v>0</v>
      </c>
      <c r="Q39" s="16">
        <f>$Q$27</f>
        <v>0</v>
      </c>
      <c r="R39" s="280">
        <f>$R$27</f>
        <v>2.8888888888888893</v>
      </c>
      <c r="S39" s="280">
        <f t="shared" ref="S39" si="10">S$27</f>
        <v>0</v>
      </c>
      <c r="T39" s="289">
        <f>$T$27</f>
        <v>0</v>
      </c>
      <c r="U39" s="289">
        <f t="shared" ref="U39" si="11">U$27</f>
        <v>0</v>
      </c>
      <c r="V39" s="5"/>
    </row>
    <row r="40" spans="2:22" s="3" customFormat="1">
      <c r="B40" s="286">
        <f ca="1">$B$27+($B$27*1*(0.5-RAND()))/100</f>
        <v>0</v>
      </c>
      <c r="C40" s="286"/>
      <c r="D40" s="21">
        <f ca="1">$D$27+($D$27*1*(0.5-RAND()))/100</f>
        <v>842.65159619973917</v>
      </c>
      <c r="E40" s="286">
        <f ca="1">$E$27+($E$27*1*(0.5-RAND()))/100</f>
        <v>478.10138658723298</v>
      </c>
      <c r="F40" s="286"/>
      <c r="G40" s="286"/>
      <c r="H40" s="21">
        <f ca="1">$H$27+($H$27*1*(0.5-RAND()))/100</f>
        <v>752.05884665069289</v>
      </c>
      <c r="I40" s="286">
        <f ca="1">$I$27+($I$27*1*(0.5-RAND()))/100</f>
        <v>0</v>
      </c>
      <c r="J40" s="286"/>
      <c r="K40" s="21">
        <f ca="1">$K$27+($K$27*2*(0.5-RAND()))/100</f>
        <v>375.9756449550265</v>
      </c>
      <c r="L40" s="21">
        <f ca="1">$L$27+($L$27*2*(0.5-RAND()))/100</f>
        <v>0</v>
      </c>
      <c r="M40" s="21">
        <f ca="1">$M$27+($M$27*2*(0.5-RAND()))/100</f>
        <v>111.67692126497403</v>
      </c>
      <c r="N40" s="25">
        <v>0</v>
      </c>
      <c r="O40" s="286">
        <f ca="1">$O$27+($O$27*2*(0.5-RAND()))/100</f>
        <v>161.27124029890575</v>
      </c>
      <c r="P40" s="286"/>
      <c r="Q40" s="16">
        <v>0</v>
      </c>
      <c r="R40" s="280">
        <f ca="1">$R$27+($R$27*2*(0.5-RAND()))/100</f>
        <v>2.8927959346558945</v>
      </c>
      <c r="S40" s="280"/>
      <c r="T40" s="290">
        <v>0</v>
      </c>
      <c r="U40" s="290"/>
      <c r="V40" s="5"/>
    </row>
    <row r="41" spans="2:22" s="3" customFormat="1">
      <c r="B41" s="280">
        <f>$B$25</f>
        <v>0</v>
      </c>
      <c r="C41" s="280"/>
      <c r="D41" s="17">
        <f>$D$25</f>
        <v>2</v>
      </c>
      <c r="E41" s="280">
        <f>$E$25</f>
        <v>1</v>
      </c>
      <c r="F41" s="280"/>
      <c r="G41" s="280"/>
      <c r="H41" s="18">
        <f>$H$25</f>
        <v>1</v>
      </c>
      <c r="I41" s="280">
        <v>0</v>
      </c>
      <c r="J41" s="280"/>
      <c r="K41" s="14"/>
      <c r="L41" s="14"/>
      <c r="M41" s="14"/>
      <c r="N41" s="14"/>
      <c r="O41" s="293">
        <v>0</v>
      </c>
      <c r="P41" s="293"/>
      <c r="Q41" s="14"/>
      <c r="R41" s="14"/>
      <c r="S41" s="14"/>
      <c r="T41" s="14"/>
      <c r="U41" s="14"/>
      <c r="V41" s="5"/>
    </row>
    <row r="42" spans="2:22" s="3" customFormat="1">
      <c r="B42" s="280">
        <f>$B$26</f>
        <v>0</v>
      </c>
      <c r="C42" s="280"/>
      <c r="D42" s="19">
        <f>$D$26</f>
        <v>4.5</v>
      </c>
      <c r="E42" s="280">
        <f>$E$26</f>
        <v>0</v>
      </c>
      <c r="F42" s="280"/>
      <c r="G42" s="280"/>
      <c r="H42" s="16">
        <f>$H$26</f>
        <v>0</v>
      </c>
      <c r="I42" s="280">
        <v>0</v>
      </c>
      <c r="J42" s="280"/>
      <c r="K42" s="14"/>
      <c r="L42" s="14"/>
      <c r="M42" s="14"/>
      <c r="N42" s="13" t="s">
        <v>46</v>
      </c>
      <c r="O42" s="279">
        <v>0</v>
      </c>
      <c r="P42" s="279"/>
      <c r="Q42" s="14"/>
      <c r="R42" s="14"/>
      <c r="S42" s="14"/>
      <c r="T42" s="14"/>
      <c r="U42" s="14"/>
      <c r="V42" s="5"/>
    </row>
    <row r="43" spans="2:22" s="3" customFormat="1">
      <c r="B43" s="286">
        <f>ROUND($B$27,0)</f>
        <v>0</v>
      </c>
      <c r="C43" s="286"/>
      <c r="D43" s="21">
        <f>ROUND(($D$27),0)</f>
        <v>847</v>
      </c>
      <c r="E43" s="286">
        <f>ROUND($E$27,0)</f>
        <v>479</v>
      </c>
      <c r="F43" s="286">
        <f t="shared" ref="F43:G43" si="12">F$27</f>
        <v>0</v>
      </c>
      <c r="G43" s="286">
        <f t="shared" si="12"/>
        <v>0</v>
      </c>
      <c r="H43" s="21">
        <f>ROUND($H$27,0)</f>
        <v>749</v>
      </c>
      <c r="I43" s="286">
        <f>$I$27</f>
        <v>0</v>
      </c>
      <c r="J43" s="286">
        <f t="shared" ref="J43" si="13">J$27</f>
        <v>0</v>
      </c>
      <c r="K43" s="21">
        <f>$K$27</f>
        <v>377.77777777777777</v>
      </c>
      <c r="L43" s="21">
        <f>$L$27</f>
        <v>0</v>
      </c>
      <c r="M43" s="21">
        <f>$M$27</f>
        <v>111.11111111111111</v>
      </c>
      <c r="N43" s="25">
        <f>$N$27</f>
        <v>0</v>
      </c>
      <c r="O43" s="286">
        <f>$O$27</f>
        <v>162.22059069444447</v>
      </c>
      <c r="P43" s="286">
        <f t="shared" ref="P43" si="14">P$27</f>
        <v>0</v>
      </c>
      <c r="Q43" s="16">
        <f>$Q$27</f>
        <v>0</v>
      </c>
      <c r="R43" s="280">
        <f>$R$27</f>
        <v>2.8888888888888893</v>
      </c>
      <c r="S43" s="280">
        <f t="shared" ref="S43" si="15">S$27</f>
        <v>0</v>
      </c>
      <c r="T43" s="289">
        <f>$T$27</f>
        <v>0</v>
      </c>
      <c r="U43" s="289">
        <f t="shared" ref="U43" si="16">U$27</f>
        <v>0</v>
      </c>
      <c r="V43" s="5"/>
    </row>
    <row r="44" spans="2:22" s="3" customFormat="1">
      <c r="B44" s="286">
        <f ca="1">$B$27+($B$27*1*(0.5-RAND()))/100</f>
        <v>0</v>
      </c>
      <c r="C44" s="286"/>
      <c r="D44" s="21">
        <f ca="1">$D$27+($D$27*1*(0.5-RAND()))/100</f>
        <v>845.18782851409708</v>
      </c>
      <c r="E44" s="286">
        <f ca="1">$E$27+($E$27*1*(0.5-RAND()))/100</f>
        <v>476.66236984135679</v>
      </c>
      <c r="F44" s="286"/>
      <c r="G44" s="286"/>
      <c r="H44" s="21">
        <f ca="1">$H$27+($H$27*1*(0.5-RAND()))/100</f>
        <v>747.05288743780443</v>
      </c>
      <c r="I44" s="286">
        <f ca="1">$I$27+($I$27*1*(0.5-RAND()))/100</f>
        <v>0</v>
      </c>
      <c r="J44" s="286"/>
      <c r="K44" s="21">
        <f ca="1">$K$27+($K$27*2*(0.5-RAND()))/100</f>
        <v>379.1094306202412</v>
      </c>
      <c r="L44" s="21">
        <f ca="1">$L$27+($L$27*2*(0.5-RAND()))/100</f>
        <v>0</v>
      </c>
      <c r="M44" s="21">
        <f ca="1">$M$27+($M$27*2*(0.5-RAND()))/100</f>
        <v>111.116104570229</v>
      </c>
      <c r="N44" s="25">
        <v>0</v>
      </c>
      <c r="O44" s="286">
        <f ca="1">$O$27+($O$27*2*(0.5-RAND()))/100</f>
        <v>161.63817412484724</v>
      </c>
      <c r="P44" s="286"/>
      <c r="Q44" s="16">
        <v>0</v>
      </c>
      <c r="R44" s="280">
        <f ca="1">$R$27+($R$27*2*(0.5-RAND()))/100</f>
        <v>2.8627691135212507</v>
      </c>
      <c r="S44" s="280"/>
      <c r="T44" s="290">
        <v>0</v>
      </c>
      <c r="U44" s="290"/>
      <c r="V44" s="5"/>
    </row>
    <row r="45" spans="2:22" s="3" customFormat="1">
      <c r="B45" s="280">
        <f>$B$25</f>
        <v>0</v>
      </c>
      <c r="C45" s="280"/>
      <c r="D45" s="17">
        <f>$D$25</f>
        <v>2</v>
      </c>
      <c r="E45" s="280">
        <f>$E$25</f>
        <v>1</v>
      </c>
      <c r="F45" s="280"/>
      <c r="G45" s="280"/>
      <c r="H45" s="18">
        <f>$H$25</f>
        <v>1</v>
      </c>
      <c r="I45" s="280">
        <v>0</v>
      </c>
      <c r="J45" s="280"/>
      <c r="K45" s="14"/>
      <c r="L45" s="14"/>
      <c r="M45" s="14"/>
      <c r="N45" s="14"/>
      <c r="O45" s="293">
        <v>0</v>
      </c>
      <c r="P45" s="293"/>
      <c r="Q45" s="14"/>
      <c r="R45" s="14"/>
      <c r="S45" s="14"/>
      <c r="T45" s="14"/>
      <c r="U45" s="14"/>
      <c r="V45" s="5"/>
    </row>
    <row r="46" spans="2:22" s="3" customFormat="1">
      <c r="B46" s="280">
        <f>$B$26</f>
        <v>0</v>
      </c>
      <c r="C46" s="280"/>
      <c r="D46" s="19">
        <f>$D$26</f>
        <v>4.5</v>
      </c>
      <c r="E46" s="280">
        <f>$E$26</f>
        <v>0</v>
      </c>
      <c r="F46" s="280"/>
      <c r="G46" s="280"/>
      <c r="H46" s="16">
        <f>$H$26</f>
        <v>0</v>
      </c>
      <c r="I46" s="280">
        <v>0</v>
      </c>
      <c r="J46" s="280"/>
      <c r="K46" s="14"/>
      <c r="L46" s="14"/>
      <c r="M46" s="14"/>
      <c r="N46" s="13" t="s">
        <v>46</v>
      </c>
      <c r="O46" s="279">
        <v>0</v>
      </c>
      <c r="P46" s="279"/>
      <c r="Q46" s="14"/>
      <c r="R46" s="14"/>
      <c r="S46" s="14"/>
      <c r="T46" s="14"/>
      <c r="U46" s="14"/>
      <c r="V46" s="5"/>
    </row>
    <row r="47" spans="2:22" s="3" customFormat="1">
      <c r="B47" s="286">
        <f>ROUND($B$27,0)</f>
        <v>0</v>
      </c>
      <c r="C47" s="286"/>
      <c r="D47" s="21">
        <f>ROUND(($D$27),0)</f>
        <v>847</v>
      </c>
      <c r="E47" s="286">
        <f>ROUND($E$27,0)</f>
        <v>479</v>
      </c>
      <c r="F47" s="286">
        <f t="shared" ref="F47:G47" si="17">F$27</f>
        <v>0</v>
      </c>
      <c r="G47" s="286">
        <f t="shared" si="17"/>
        <v>0</v>
      </c>
      <c r="H47" s="21">
        <f>ROUND($H$27,0)</f>
        <v>749</v>
      </c>
      <c r="I47" s="286">
        <f>$I$27</f>
        <v>0</v>
      </c>
      <c r="J47" s="286">
        <f t="shared" ref="J47" si="18">J$27</f>
        <v>0</v>
      </c>
      <c r="K47" s="21">
        <f>$K$27</f>
        <v>377.77777777777777</v>
      </c>
      <c r="L47" s="21">
        <f>$L$27</f>
        <v>0</v>
      </c>
      <c r="M47" s="21">
        <f>$M$27</f>
        <v>111.11111111111111</v>
      </c>
      <c r="N47" s="25">
        <f>$N$27</f>
        <v>0</v>
      </c>
      <c r="O47" s="286">
        <f>$O$27</f>
        <v>162.22059069444447</v>
      </c>
      <c r="P47" s="286">
        <f t="shared" ref="P47" si="19">P$27</f>
        <v>0</v>
      </c>
      <c r="Q47" s="16">
        <f>$Q$27</f>
        <v>0</v>
      </c>
      <c r="R47" s="280">
        <f>$R$27</f>
        <v>2.8888888888888893</v>
      </c>
      <c r="S47" s="280">
        <f t="shared" ref="S47" si="20">S$27</f>
        <v>0</v>
      </c>
      <c r="T47" s="289">
        <f>$T$27</f>
        <v>0</v>
      </c>
      <c r="U47" s="289">
        <f t="shared" ref="U47" si="21">U$27</f>
        <v>0</v>
      </c>
      <c r="V47" s="5"/>
    </row>
    <row r="48" spans="2:22" s="3" customFormat="1">
      <c r="B48" s="286">
        <f ca="1">$B$27+($B$27*1*(0.5-RAND()))/100</f>
        <v>0</v>
      </c>
      <c r="C48" s="286"/>
      <c r="D48" s="21">
        <f ca="1">$D$27+($D$27*1*(0.5-RAND()))/100</f>
        <v>844.58690991054448</v>
      </c>
      <c r="E48" s="286">
        <f ca="1">$E$27+($E$27*1*(0.5-RAND()))/100</f>
        <v>480.26029826278312</v>
      </c>
      <c r="F48" s="286"/>
      <c r="G48" s="286"/>
      <c r="H48" s="21">
        <f ca="1">$H$27+($H$27*1*(0.5-RAND()))/100</f>
        <v>751.23403627879679</v>
      </c>
      <c r="I48" s="286">
        <f ca="1">$I$27+($I$27*1*(0.5-RAND()))/100</f>
        <v>0</v>
      </c>
      <c r="J48" s="286"/>
      <c r="K48" s="21">
        <f ca="1">$K$27+($K$27*2*(0.5-RAND()))/100</f>
        <v>378.22465109664512</v>
      </c>
      <c r="L48" s="21">
        <f ca="1">$L$27+($L$27*2*(0.5-RAND()))/100</f>
        <v>0</v>
      </c>
      <c r="M48" s="21">
        <f ca="1">$M$27+($M$27*2*(0.5-RAND()))/100</f>
        <v>111.24829952441742</v>
      </c>
      <c r="N48" s="25">
        <v>0</v>
      </c>
      <c r="O48" s="286">
        <f ca="1">$O$27+($O$27*2*(0.5-RAND()))/100</f>
        <v>162.2464133806904</v>
      </c>
      <c r="P48" s="286"/>
      <c r="Q48" s="16">
        <v>0</v>
      </c>
      <c r="R48" s="280">
        <f ca="1">$R$27+($R$27*2*(0.5-RAND()))/100</f>
        <v>2.8936665536565283</v>
      </c>
      <c r="S48" s="280"/>
      <c r="T48" s="290">
        <v>0</v>
      </c>
      <c r="U48" s="290"/>
      <c r="V48" s="5"/>
    </row>
    <row r="49" spans="2:22" s="3" customFormat="1">
      <c r="B49" s="280">
        <f>$B$25</f>
        <v>0</v>
      </c>
      <c r="C49" s="280"/>
      <c r="D49" s="17">
        <f>$D$25</f>
        <v>2</v>
      </c>
      <c r="E49" s="280">
        <f>$E$25</f>
        <v>1</v>
      </c>
      <c r="F49" s="280"/>
      <c r="G49" s="280"/>
      <c r="H49" s="18">
        <f>$H$25</f>
        <v>1</v>
      </c>
      <c r="I49" s="280">
        <v>0</v>
      </c>
      <c r="J49" s="280"/>
      <c r="K49" s="14"/>
      <c r="L49" s="14"/>
      <c r="M49" s="14"/>
      <c r="N49" s="14"/>
      <c r="O49" s="293">
        <v>0</v>
      </c>
      <c r="P49" s="293"/>
      <c r="Q49" s="14"/>
      <c r="R49" s="14"/>
      <c r="S49" s="14"/>
      <c r="T49" s="14"/>
      <c r="U49" s="14"/>
      <c r="V49" s="5"/>
    </row>
    <row r="50" spans="2:22" s="3" customFormat="1">
      <c r="B50" s="280">
        <f>$B$26</f>
        <v>0</v>
      </c>
      <c r="C50" s="280"/>
      <c r="D50" s="19">
        <f>$D$26</f>
        <v>4.5</v>
      </c>
      <c r="E50" s="280">
        <f>$E$26</f>
        <v>0</v>
      </c>
      <c r="F50" s="280"/>
      <c r="G50" s="280"/>
      <c r="H50" s="16">
        <f>$H$26</f>
        <v>0</v>
      </c>
      <c r="I50" s="280">
        <v>0</v>
      </c>
      <c r="J50" s="280"/>
      <c r="K50" s="14"/>
      <c r="L50" s="14"/>
      <c r="M50" s="14"/>
      <c r="N50" s="13" t="s">
        <v>46</v>
      </c>
      <c r="O50" s="279">
        <v>0</v>
      </c>
      <c r="P50" s="279"/>
      <c r="Q50" s="14"/>
      <c r="R50" s="14"/>
      <c r="S50" s="14"/>
      <c r="T50" s="14"/>
      <c r="U50" s="14"/>
      <c r="V50" s="5"/>
    </row>
    <row r="51" spans="2:22" s="3" customFormat="1">
      <c r="B51" s="286">
        <f>ROUND($B$27,0)</f>
        <v>0</v>
      </c>
      <c r="C51" s="286"/>
      <c r="D51" s="21">
        <f>ROUND(($D$27),0)</f>
        <v>847</v>
      </c>
      <c r="E51" s="286">
        <f>ROUND($E$27,0)</f>
        <v>479</v>
      </c>
      <c r="F51" s="286">
        <f t="shared" ref="F51:G51" si="22">F$27</f>
        <v>0</v>
      </c>
      <c r="G51" s="286">
        <f t="shared" si="22"/>
        <v>0</v>
      </c>
      <c r="H51" s="21">
        <f>ROUND($H$27,0)</f>
        <v>749</v>
      </c>
      <c r="I51" s="286">
        <f>$I$27</f>
        <v>0</v>
      </c>
      <c r="J51" s="286">
        <f t="shared" ref="J51" si="23">J$27</f>
        <v>0</v>
      </c>
      <c r="K51" s="21">
        <f>$K$27</f>
        <v>377.77777777777777</v>
      </c>
      <c r="L51" s="21">
        <f>$L$27</f>
        <v>0</v>
      </c>
      <c r="M51" s="21">
        <f>$M$27</f>
        <v>111.11111111111111</v>
      </c>
      <c r="N51" s="25">
        <f>$N$27</f>
        <v>0</v>
      </c>
      <c r="O51" s="286">
        <f>$O$27</f>
        <v>162.22059069444447</v>
      </c>
      <c r="P51" s="286">
        <f t="shared" ref="P51" si="24">P$27</f>
        <v>0</v>
      </c>
      <c r="Q51" s="16">
        <f>$Q$27</f>
        <v>0</v>
      </c>
      <c r="R51" s="280">
        <f>$R$27</f>
        <v>2.8888888888888893</v>
      </c>
      <c r="S51" s="280">
        <f t="shared" ref="S51" si="25">S$27</f>
        <v>0</v>
      </c>
      <c r="T51" s="289">
        <f>$T$27</f>
        <v>0</v>
      </c>
      <c r="U51" s="289">
        <f t="shared" ref="U51" si="26">U$27</f>
        <v>0</v>
      </c>
      <c r="V51" s="5"/>
    </row>
    <row r="52" spans="2:22" s="3" customFormat="1">
      <c r="B52" s="286">
        <f ca="1">$B$27+($B$27*1*(0.5-RAND()))/100</f>
        <v>0</v>
      </c>
      <c r="C52" s="286"/>
      <c r="D52" s="21">
        <f ca="1">$D$27+($D$27*1*(0.5-RAND()))/100</f>
        <v>845.19303733163997</v>
      </c>
      <c r="E52" s="286">
        <f ca="1">$E$27+($E$27*1*(0.5-RAND()))/100</f>
        <v>477.99064461071583</v>
      </c>
      <c r="F52" s="286"/>
      <c r="G52" s="286"/>
      <c r="H52" s="21">
        <f ca="1">$H$27+($H$27*1*(0.5-RAND()))/100</f>
        <v>750.94102307820651</v>
      </c>
      <c r="I52" s="286">
        <f ca="1">$I$27+($I$27*1*(0.5-RAND()))/100</f>
        <v>0</v>
      </c>
      <c r="J52" s="286"/>
      <c r="K52" s="21">
        <f ca="1">$K$27+($K$27*2*(0.5-RAND()))/100</f>
        <v>375.36425689340649</v>
      </c>
      <c r="L52" s="21">
        <f ca="1">$L$27+($L$27*2*(0.5-RAND()))/100</f>
        <v>0</v>
      </c>
      <c r="M52" s="21">
        <f ca="1">$M$27+($M$27*2*(0.5-RAND()))/100</f>
        <v>110.31771987528815</v>
      </c>
      <c r="N52" s="25">
        <v>0</v>
      </c>
      <c r="O52" s="286">
        <f ca="1">$O$27+($O$27*2*(0.5-RAND()))/100</f>
        <v>162.16564379453328</v>
      </c>
      <c r="P52" s="286"/>
      <c r="Q52" s="16">
        <v>0</v>
      </c>
      <c r="R52" s="280">
        <f ca="1">$R$27+($R$27*2*(0.5-RAND()))/100</f>
        <v>2.8810557825143337</v>
      </c>
      <c r="S52" s="280"/>
      <c r="T52" s="290">
        <v>0</v>
      </c>
      <c r="U52" s="290"/>
      <c r="V52" s="5"/>
    </row>
    <row r="53" spans="2:22" s="3" customFormat="1">
      <c r="B53" s="280">
        <f>$B$25</f>
        <v>0</v>
      </c>
      <c r="C53" s="280"/>
      <c r="D53" s="17">
        <f>$D$25</f>
        <v>2</v>
      </c>
      <c r="E53" s="280">
        <f>$E$25</f>
        <v>1</v>
      </c>
      <c r="F53" s="280"/>
      <c r="G53" s="280"/>
      <c r="H53" s="18">
        <f>$H$25</f>
        <v>1</v>
      </c>
      <c r="I53" s="280">
        <v>0</v>
      </c>
      <c r="J53" s="280"/>
      <c r="K53" s="14"/>
      <c r="L53" s="14"/>
      <c r="M53" s="14"/>
      <c r="N53" s="14"/>
      <c r="O53" s="293">
        <v>0</v>
      </c>
      <c r="P53" s="293"/>
      <c r="Q53" s="14"/>
      <c r="R53" s="14"/>
      <c r="S53" s="14"/>
      <c r="T53" s="14"/>
      <c r="U53" s="14"/>
      <c r="V53" s="5"/>
    </row>
    <row r="54" spans="2:22" s="3" customFormat="1">
      <c r="B54" s="280">
        <f>$B$26</f>
        <v>0</v>
      </c>
      <c r="C54" s="280"/>
      <c r="D54" s="19">
        <f>$D$26</f>
        <v>4.5</v>
      </c>
      <c r="E54" s="280">
        <f>$E$26</f>
        <v>0</v>
      </c>
      <c r="F54" s="280"/>
      <c r="G54" s="280"/>
      <c r="H54" s="16">
        <f>$H$26</f>
        <v>0</v>
      </c>
      <c r="I54" s="280">
        <v>0</v>
      </c>
      <c r="J54" s="280"/>
      <c r="K54" s="14"/>
      <c r="L54" s="14"/>
      <c r="M54" s="14"/>
      <c r="N54" s="13" t="s">
        <v>46</v>
      </c>
      <c r="O54" s="279">
        <v>0</v>
      </c>
      <c r="P54" s="279"/>
      <c r="Q54" s="14"/>
      <c r="R54" s="14"/>
      <c r="S54" s="14"/>
      <c r="T54" s="14"/>
      <c r="U54" s="14"/>
      <c r="V54" s="5"/>
    </row>
    <row r="55" spans="2:22" s="3" customFormat="1">
      <c r="B55" s="286">
        <f>ROUND($B$27,0)</f>
        <v>0</v>
      </c>
      <c r="C55" s="286"/>
      <c r="D55" s="21">
        <f>ROUND(($D$27),0)</f>
        <v>847</v>
      </c>
      <c r="E55" s="286">
        <f>ROUND($E$27,0)</f>
        <v>479</v>
      </c>
      <c r="F55" s="286">
        <f t="shared" ref="F55:G55" si="27">F$27</f>
        <v>0</v>
      </c>
      <c r="G55" s="286">
        <f t="shared" si="27"/>
        <v>0</v>
      </c>
      <c r="H55" s="21">
        <f>ROUND($H$27,0)</f>
        <v>749</v>
      </c>
      <c r="I55" s="286">
        <f>$I$27</f>
        <v>0</v>
      </c>
      <c r="J55" s="286">
        <f t="shared" ref="J55" si="28">J$27</f>
        <v>0</v>
      </c>
      <c r="K55" s="21">
        <f>$K$27</f>
        <v>377.77777777777777</v>
      </c>
      <c r="L55" s="21">
        <f>$L$27</f>
        <v>0</v>
      </c>
      <c r="M55" s="21">
        <f>$M$27</f>
        <v>111.11111111111111</v>
      </c>
      <c r="N55" s="25">
        <f>$N$27</f>
        <v>0</v>
      </c>
      <c r="O55" s="286">
        <f>$O$27</f>
        <v>162.22059069444447</v>
      </c>
      <c r="P55" s="286">
        <f t="shared" ref="P55" si="29">P$27</f>
        <v>0</v>
      </c>
      <c r="Q55" s="16">
        <f>$Q$27</f>
        <v>0</v>
      </c>
      <c r="R55" s="280">
        <f>$R$27</f>
        <v>2.8888888888888893</v>
      </c>
      <c r="S55" s="280">
        <f t="shared" ref="S55" si="30">S$27</f>
        <v>0</v>
      </c>
      <c r="T55" s="289">
        <f>$T$27</f>
        <v>0</v>
      </c>
      <c r="U55" s="289">
        <f t="shared" ref="U55" si="31">U$27</f>
        <v>0</v>
      </c>
      <c r="V55" s="5"/>
    </row>
    <row r="56" spans="2:22" s="3" customFormat="1">
      <c r="B56" s="286">
        <f ca="1">$B$27+($B$27*1*(0.5-RAND()))/100</f>
        <v>0</v>
      </c>
      <c r="C56" s="286"/>
      <c r="D56" s="21">
        <f ca="1">$D$27+($D$27*1*(0.5-RAND()))/100</f>
        <v>847.13393781539514</v>
      </c>
      <c r="E56" s="286">
        <f ca="1">$E$27+($E$27*1*(0.5-RAND()))/100</f>
        <v>479.1300514459806</v>
      </c>
      <c r="F56" s="286"/>
      <c r="G56" s="286"/>
      <c r="H56" s="21">
        <f ca="1">$H$27+($H$27*1*(0.5-RAND()))/100</f>
        <v>751.76057247816834</v>
      </c>
      <c r="I56" s="286">
        <f ca="1">$I$27+($I$27*1*(0.5-RAND()))/100</f>
        <v>0</v>
      </c>
      <c r="J56" s="286"/>
      <c r="K56" s="21">
        <f ca="1">$K$27+($K$27*2*(0.5-RAND()))/100</f>
        <v>378.61671502129605</v>
      </c>
      <c r="L56" s="21">
        <f ca="1">$L$27+($L$27*2*(0.5-RAND()))/100</f>
        <v>0</v>
      </c>
      <c r="M56" s="21">
        <f ca="1">$M$27+($M$27*2*(0.5-RAND()))/100</f>
        <v>111.94637673031509</v>
      </c>
      <c r="N56" s="25">
        <v>0</v>
      </c>
      <c r="O56" s="286">
        <f ca="1">$O$27+($O$27*2*(0.5-RAND()))/100</f>
        <v>163.40408054182737</v>
      </c>
      <c r="P56" s="286"/>
      <c r="Q56" s="16">
        <v>0</v>
      </c>
      <c r="R56" s="280">
        <f ca="1">$R$27+($R$27*2*(0.5-RAND()))/100</f>
        <v>2.8901504548515566</v>
      </c>
      <c r="S56" s="280"/>
      <c r="T56" s="290">
        <v>0</v>
      </c>
      <c r="U56" s="290"/>
      <c r="V56" s="5"/>
    </row>
    <row r="57" spans="2:22" s="3" customFormat="1">
      <c r="B57" s="280">
        <f>$B$25</f>
        <v>0</v>
      </c>
      <c r="C57" s="280"/>
      <c r="D57" s="17">
        <f>$D$25</f>
        <v>2</v>
      </c>
      <c r="E57" s="280">
        <f>$E$25</f>
        <v>1</v>
      </c>
      <c r="F57" s="280"/>
      <c r="G57" s="280"/>
      <c r="H57" s="18">
        <f>$H$25</f>
        <v>1</v>
      </c>
      <c r="I57" s="280">
        <v>0</v>
      </c>
      <c r="J57" s="280"/>
      <c r="K57" s="14"/>
      <c r="L57" s="14"/>
      <c r="M57" s="14"/>
      <c r="N57" s="14"/>
      <c r="O57" s="293">
        <v>0</v>
      </c>
      <c r="P57" s="293"/>
      <c r="Q57" s="14"/>
      <c r="R57" s="14"/>
      <c r="S57" s="14"/>
      <c r="T57" s="14"/>
      <c r="U57" s="14"/>
      <c r="V57" s="5"/>
    </row>
    <row r="58" spans="2:22" s="3" customFormat="1">
      <c r="B58" s="280">
        <f>$B$26</f>
        <v>0</v>
      </c>
      <c r="C58" s="280"/>
      <c r="D58" s="19">
        <f>$D$26</f>
        <v>4.5</v>
      </c>
      <c r="E58" s="280">
        <f>$E$26</f>
        <v>0</v>
      </c>
      <c r="F58" s="280"/>
      <c r="G58" s="280"/>
      <c r="H58" s="16">
        <f>$H$26</f>
        <v>0</v>
      </c>
      <c r="I58" s="280">
        <v>0</v>
      </c>
      <c r="J58" s="280"/>
      <c r="K58" s="14"/>
      <c r="L58" s="14"/>
      <c r="M58" s="14"/>
      <c r="N58" s="13" t="s">
        <v>46</v>
      </c>
      <c r="O58" s="279">
        <v>0</v>
      </c>
      <c r="P58" s="279"/>
      <c r="Q58" s="14"/>
      <c r="R58" s="14"/>
      <c r="S58" s="14"/>
      <c r="T58" s="14"/>
      <c r="U58" s="14"/>
      <c r="V58" s="5"/>
    </row>
    <row r="59" spans="2:22" s="3" customFormat="1">
      <c r="B59" s="286">
        <f>ROUND($B$27,0)</f>
        <v>0</v>
      </c>
      <c r="C59" s="286"/>
      <c r="D59" s="21">
        <f>ROUND(($D$27),0)</f>
        <v>847</v>
      </c>
      <c r="E59" s="286">
        <f>ROUND($E$27,0)</f>
        <v>479</v>
      </c>
      <c r="F59" s="286">
        <f t="shared" ref="F59:G59" si="32">F$27</f>
        <v>0</v>
      </c>
      <c r="G59" s="286">
        <f t="shared" si="32"/>
        <v>0</v>
      </c>
      <c r="H59" s="21">
        <f>ROUND($H$27,0)</f>
        <v>749</v>
      </c>
      <c r="I59" s="286">
        <f>$I$27</f>
        <v>0</v>
      </c>
      <c r="J59" s="286">
        <f t="shared" ref="J59" si="33">J$27</f>
        <v>0</v>
      </c>
      <c r="K59" s="21">
        <f>$K$27</f>
        <v>377.77777777777777</v>
      </c>
      <c r="L59" s="21">
        <f>$L$27</f>
        <v>0</v>
      </c>
      <c r="M59" s="21">
        <f>$M$27</f>
        <v>111.11111111111111</v>
      </c>
      <c r="N59" s="25">
        <f>$N$27</f>
        <v>0</v>
      </c>
      <c r="O59" s="286">
        <f>$O$27</f>
        <v>162.22059069444447</v>
      </c>
      <c r="P59" s="286">
        <f t="shared" ref="P59" si="34">P$27</f>
        <v>0</v>
      </c>
      <c r="Q59" s="16">
        <f>$Q$27</f>
        <v>0</v>
      </c>
      <c r="R59" s="280">
        <f>$R$27</f>
        <v>2.8888888888888893</v>
      </c>
      <c r="S59" s="280">
        <f t="shared" ref="S59" si="35">S$27</f>
        <v>0</v>
      </c>
      <c r="T59" s="289">
        <f>$T$27</f>
        <v>0</v>
      </c>
      <c r="U59" s="289">
        <f t="shared" ref="U59" si="36">U$27</f>
        <v>0</v>
      </c>
      <c r="V59" s="5"/>
    </row>
    <row r="60" spans="2:22" s="3" customFormat="1">
      <c r="B60" s="286">
        <f ca="1">$B$27+($B$27*1*(0.5-RAND()))/100</f>
        <v>0</v>
      </c>
      <c r="C60" s="286"/>
      <c r="D60" s="21">
        <f ca="1">$D$27+($D$27*1*(0.5-RAND()))/100</f>
        <v>848.32037615503066</v>
      </c>
      <c r="E60" s="286">
        <f ca="1">$E$27+($E$27*1*(0.5-RAND()))/100</f>
        <v>478.7377338243183</v>
      </c>
      <c r="F60" s="286"/>
      <c r="G60" s="286"/>
      <c r="H60" s="21">
        <f ca="1">$H$27+($H$27*1*(0.5-RAND()))/100</f>
        <v>747.40748423619993</v>
      </c>
      <c r="I60" s="286">
        <f ca="1">$I$27+($I$27*1*(0.5-RAND()))/100</f>
        <v>0</v>
      </c>
      <c r="J60" s="286"/>
      <c r="K60" s="21">
        <f ca="1">$K$27+($K$27*2*(0.5-RAND()))/100</f>
        <v>377.01599903429798</v>
      </c>
      <c r="L60" s="21">
        <f ca="1">$L$27+($L$27*2*(0.5-RAND()))/100</f>
        <v>0</v>
      </c>
      <c r="M60" s="21">
        <f ca="1">$M$27+($M$27*2*(0.5-RAND()))/100</f>
        <v>111.04946116989969</v>
      </c>
      <c r="N60" s="25">
        <v>0</v>
      </c>
      <c r="O60" s="286">
        <f ca="1">$O$27+($O$27*2*(0.5-RAND()))/100</f>
        <v>162.90667319789708</v>
      </c>
      <c r="P60" s="286"/>
      <c r="Q60" s="16">
        <v>0</v>
      </c>
      <c r="R60" s="280">
        <f ca="1">$R$27+($R$27*2*(0.5-RAND()))/100</f>
        <v>2.8659136549183226</v>
      </c>
      <c r="S60" s="280"/>
      <c r="T60" s="290">
        <v>0</v>
      </c>
      <c r="U60" s="290"/>
      <c r="V60" s="5"/>
    </row>
    <row r="61" spans="2:22" s="4" customFormat="1" ht="18" customHeight="1">
      <c r="B61" s="22" t="s">
        <v>47</v>
      </c>
      <c r="C61" s="22"/>
      <c r="D61" s="23"/>
      <c r="E61" s="24"/>
      <c r="F61" s="24"/>
      <c r="G61" s="24"/>
      <c r="H61" s="23"/>
      <c r="I61" s="24"/>
      <c r="J61" s="24"/>
      <c r="K61" s="23"/>
      <c r="L61" s="23"/>
      <c r="M61" s="23"/>
      <c r="N61" s="28" t="s">
        <v>48</v>
      </c>
      <c r="O61" s="288">
        <v>0</v>
      </c>
      <c r="P61" s="288"/>
      <c r="Q61" s="23"/>
      <c r="R61" s="23"/>
      <c r="S61" s="23"/>
      <c r="T61" s="23"/>
      <c r="U61" s="23"/>
    </row>
    <row r="62" spans="2:22" s="3" customFormat="1" ht="17.5" customHeight="1">
      <c r="B62" s="285">
        <f>B55+B51+B47+B43+B39+B35+B31+B27+B59</f>
        <v>0</v>
      </c>
      <c r="C62" s="285"/>
      <c r="D62" s="21">
        <f>ROUND((D55+D51+D47+D43+D39+D35+D31+D27+D59),0)</f>
        <v>7623</v>
      </c>
      <c r="E62" s="286">
        <f>E55+E51+E47+E43+E39+E35+E31+E27+E59</f>
        <v>4310.5483333333332</v>
      </c>
      <c r="F62" s="286"/>
      <c r="G62" s="286"/>
      <c r="H62" s="21">
        <f>H55+H51+H47+H43+H39+H35+H31+H27+H59</f>
        <v>6741.175666666667</v>
      </c>
      <c r="I62" s="286">
        <f>I55+I51+I47+I43+I39+I35+I31+I27+I59</f>
        <v>0</v>
      </c>
      <c r="J62" s="286"/>
      <c r="K62" s="21">
        <f>K55+K51+K47+K43+K39+K35+K31+K27+K59</f>
        <v>3400</v>
      </c>
      <c r="L62" s="21">
        <f>L55+L51+L47+L43+L39+L35+L31+L27+L59</f>
        <v>0</v>
      </c>
      <c r="M62" s="21">
        <f>M55+M51+M47+M43+M39+M35+M31+M27+M59</f>
        <v>999.99999999999989</v>
      </c>
      <c r="N62" s="21">
        <v>0</v>
      </c>
      <c r="O62" s="287">
        <f>O55+O51+O47+O43+O39+O35+O31+O27+O59</f>
        <v>1459.9853162500003</v>
      </c>
      <c r="P62" s="287"/>
      <c r="Q62" s="35">
        <f>Q55+Q51+Q47+Q43+Q39+Q35+Q31+Q27+Q59</f>
        <v>0</v>
      </c>
      <c r="R62" s="284">
        <f>R55+R51+R47+R43+R39+R35+R31+R27+R59</f>
        <v>26.000000000000004</v>
      </c>
      <c r="S62" s="284"/>
      <c r="T62" s="284">
        <f>T55+T51+T47+T43+T39+T35+T31+T27+T59</f>
        <v>0</v>
      </c>
      <c r="U62" s="284"/>
    </row>
    <row r="63" spans="2:22" s="3" customFormat="1" ht="22" customHeight="1">
      <c r="B63" s="2" t="s">
        <v>49</v>
      </c>
      <c r="C63" s="5"/>
      <c r="D63" s="14"/>
      <c r="E63" s="17"/>
      <c r="F63" s="17"/>
      <c r="G63" s="17"/>
      <c r="H63" s="14"/>
      <c r="I63" s="17"/>
      <c r="J63" s="17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</row>
    <row r="64" spans="2:22" s="3" customFormat="1" ht="17.5" customHeight="1">
      <c r="B64" s="285">
        <f ca="1">B56+B52+B48+B44+B40+B36+B32+B28+B60</f>
        <v>0</v>
      </c>
      <c r="C64" s="285"/>
      <c r="D64" s="21">
        <f ca="1">D56+D52+D48+D44+D40+D36+D32+D28+D60</f>
        <v>7614.7860874729158</v>
      </c>
      <c r="E64" s="286">
        <f ca="1">E56+E52+E48+E44+E40+E36+E32+E28+E60</f>
        <v>4305.1260009650759</v>
      </c>
      <c r="F64" s="286"/>
      <c r="G64" s="286"/>
      <c r="H64" s="21">
        <f ca="1">H56+H52+H48+H44+H40+H36+H32+H28+H60</f>
        <v>6749.7164917010696</v>
      </c>
      <c r="I64" s="286">
        <f ca="1">I56+I52+I48+I44+I40+I36+I32+I28+I60</f>
        <v>0</v>
      </c>
      <c r="J64" s="286"/>
      <c r="K64" s="21">
        <f ca="1">K56+K52+K48+K44+K40+K36+K32+K28+K60</f>
        <v>3398.0694611394601</v>
      </c>
      <c r="L64" s="21">
        <f ca="1">L56+L52+L48+L44+L40+L36+L32+L28+L60</f>
        <v>0</v>
      </c>
      <c r="M64" s="21">
        <f ca="1">M56+M52+M48+M44+M40+M36+M32+M28+M60</f>
        <v>999.45696592405602</v>
      </c>
      <c r="N64" s="21">
        <f ca="1">N56+N52+N48+N44+N40+N36+N32+N28+N60</f>
        <v>0</v>
      </c>
      <c r="O64" s="287">
        <f ca="1">O56+O52+O48+O44+O40+O36+O32+O28+O60</f>
        <v>1462.7808426985428</v>
      </c>
      <c r="P64" s="287"/>
      <c r="Q64" s="35">
        <f>Q56+Q52+Q48+Q44+Q40+Q36+Q32+Q28+Q60</f>
        <v>0</v>
      </c>
      <c r="R64" s="284">
        <f ca="1">R56+R52+R48+R44+R40+R36+R32+R28+R60</f>
        <v>25.935908758921379</v>
      </c>
      <c r="S64" s="284"/>
      <c r="T64" s="284">
        <f t="shared" ref="T64:U64" si="37">T56+T52+T48+T44+T40+T36+T32+T28+T60</f>
        <v>0</v>
      </c>
      <c r="U64" s="284">
        <f t="shared" si="37"/>
        <v>0</v>
      </c>
    </row>
    <row r="65" spans="2:21" s="3" customFormat="1" ht="2.5" customHeight="1">
      <c r="B65" s="283"/>
      <c r="C65" s="283"/>
      <c r="D65" s="283"/>
      <c r="E65" s="283"/>
      <c r="F65" s="283"/>
      <c r="G65" s="283"/>
      <c r="H65" s="283"/>
      <c r="I65" s="283"/>
      <c r="J65" s="283"/>
      <c r="K65" s="283"/>
      <c r="L65" s="283"/>
      <c r="M65" s="283"/>
      <c r="N65" s="283"/>
      <c r="O65" s="283"/>
      <c r="P65" s="283"/>
      <c r="Q65" s="283"/>
      <c r="R65" s="283"/>
      <c r="S65" s="283"/>
      <c r="T65" s="283"/>
      <c r="U65" s="283"/>
    </row>
    <row r="66" spans="2:21" s="3" customFormat="1" ht="9.65" customHeight="1">
      <c r="B66" s="5"/>
      <c r="C66" s="5"/>
      <c r="D66" s="26"/>
      <c r="E66" s="17"/>
      <c r="F66" s="17"/>
      <c r="G66" s="17"/>
      <c r="H66" s="26"/>
      <c r="I66" s="17"/>
      <c r="J66" s="17"/>
      <c r="K66" s="26"/>
      <c r="L66" s="26"/>
      <c r="M66" s="26"/>
      <c r="N66" s="26"/>
      <c r="O66" s="26"/>
      <c r="P66" s="26"/>
      <c r="Q66" s="36"/>
      <c r="S66" s="26"/>
      <c r="T66" s="26"/>
      <c r="U66" s="26"/>
    </row>
    <row r="67" spans="2:21" s="3" customFormat="1">
      <c r="B67" s="5"/>
      <c r="C67" s="5"/>
      <c r="D67" s="26"/>
      <c r="E67" s="17"/>
      <c r="F67" s="17"/>
      <c r="G67" s="17"/>
      <c r="H67" s="26"/>
      <c r="I67" s="17"/>
      <c r="J67" s="17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</row>
    <row r="68" spans="2:21" s="3" customFormat="1">
      <c r="B68" s="5"/>
      <c r="C68" s="5"/>
      <c r="D68" s="26"/>
      <c r="E68" s="17"/>
      <c r="F68" s="17"/>
      <c r="G68" s="17"/>
      <c r="H68" s="26"/>
      <c r="I68" s="17"/>
      <c r="J68" s="17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</row>
    <row r="69" spans="2:21" s="3" customFormat="1">
      <c r="B69" s="5"/>
      <c r="C69" s="5"/>
      <c r="D69" s="26"/>
      <c r="E69" s="17"/>
      <c r="F69" s="17"/>
      <c r="G69" s="17"/>
      <c r="H69" s="26"/>
      <c r="I69" s="17"/>
      <c r="J69" s="17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</row>
    <row r="70" spans="2:21" s="3" customFormat="1">
      <c r="B70" s="5"/>
      <c r="C70" s="5"/>
      <c r="D70" s="26"/>
      <c r="E70" s="17"/>
      <c r="F70" s="17"/>
      <c r="G70" s="17"/>
      <c r="H70" s="26"/>
      <c r="I70" s="17"/>
      <c r="J70" s="17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</row>
    <row r="71" spans="2:21" s="3" customFormat="1">
      <c r="B71" s="279"/>
      <c r="C71" s="279"/>
      <c r="D71" s="26"/>
      <c r="E71" s="280"/>
      <c r="F71" s="280"/>
      <c r="G71" s="280"/>
      <c r="H71" s="26"/>
      <c r="I71" s="280"/>
      <c r="J71" s="280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</row>
    <row r="72" spans="2:21" s="3" customFormat="1">
      <c r="B72" s="279"/>
      <c r="C72" s="279"/>
      <c r="D72" s="26"/>
      <c r="E72" s="280"/>
      <c r="F72" s="280"/>
      <c r="G72" s="280"/>
      <c r="H72" s="26"/>
      <c r="I72" s="280"/>
      <c r="J72" s="280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</row>
    <row r="73" spans="2:21" s="3" customFormat="1">
      <c r="B73" s="279"/>
      <c r="C73" s="279"/>
      <c r="D73" s="26"/>
      <c r="E73" s="26"/>
      <c r="F73" s="26"/>
      <c r="G73" s="26"/>
      <c r="H73" s="26"/>
      <c r="I73" s="280"/>
      <c r="J73" s="280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</row>
    <row r="74" spans="2:21" s="3" customFormat="1">
      <c r="B74" s="279"/>
      <c r="C74" s="279"/>
      <c r="D74" s="26"/>
      <c r="E74" s="26"/>
      <c r="F74" s="26"/>
      <c r="G74" s="26"/>
      <c r="H74" s="26"/>
      <c r="I74" s="280"/>
      <c r="J74" s="280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</row>
    <row r="75" spans="2:21" s="3" customFormat="1">
      <c r="B75" s="279"/>
      <c r="C75" s="279"/>
      <c r="D75" s="26"/>
      <c r="E75" s="26"/>
      <c r="F75" s="26"/>
      <c r="G75" s="26"/>
      <c r="H75" s="26"/>
      <c r="I75" s="280"/>
      <c r="J75" s="280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</row>
    <row r="76" spans="2:21" s="3" customFormat="1">
      <c r="B76" s="279"/>
      <c r="C76" s="279"/>
      <c r="D76" s="26"/>
      <c r="E76" s="26"/>
      <c r="F76" s="26"/>
      <c r="G76" s="26"/>
      <c r="H76" s="26"/>
      <c r="I76" s="280"/>
      <c r="J76" s="280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</row>
    <row r="77" spans="2:21" s="3" customFormat="1">
      <c r="B77" s="26"/>
      <c r="C77" s="26"/>
      <c r="D77" s="26"/>
      <c r="E77" s="26"/>
      <c r="F77" s="26"/>
      <c r="G77" s="26"/>
      <c r="H77" s="26"/>
      <c r="I77" s="281"/>
      <c r="J77" s="281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</row>
    <row r="78" spans="2:21"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</row>
    <row r="79" spans="2:21"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</row>
    <row r="80" spans="2:21"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</row>
    <row r="81" spans="2:21"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</row>
    <row r="82" spans="2:21"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</row>
    <row r="83" spans="2:21"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</row>
    <row r="84" spans="2:21"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</row>
    <row r="85" spans="2:21"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</row>
    <row r="86" spans="2:21"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</row>
    <row r="87" spans="2:21"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</row>
    <row r="88" spans="2:21"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</row>
  </sheetData>
  <sheetProtection algorithmName="SHA-512" hashValue="1JChWSaQNMeoxc+Dgak7vqS/DzYq1R4PUMq8bd7LyQcWdO5VpSxa7ALMro9jmfADelcvH00H6PXjs80XYHSzjQ==" saltValue="O9aPzGm+vT7AeGAx3qCrDg==" spinCount="100000" sheet="1" objects="1" scenarios="1" selectLockedCells="1"/>
  <mergeCells count="234">
    <mergeCell ref="B2:U2"/>
    <mergeCell ref="E3:Q4"/>
    <mergeCell ref="B7:U7"/>
    <mergeCell ref="G8:J8"/>
    <mergeCell ref="P8:R8"/>
    <mergeCell ref="S8:T8"/>
    <mergeCell ref="R23:S23"/>
    <mergeCell ref="T23:U23"/>
    <mergeCell ref="B21:C21"/>
    <mergeCell ref="E21:G21"/>
    <mergeCell ref="I21:J21"/>
    <mergeCell ref="O21:P21"/>
    <mergeCell ref="R21:S21"/>
    <mergeCell ref="T21:U21"/>
    <mergeCell ref="G9:J9"/>
    <mergeCell ref="G10:J10"/>
    <mergeCell ref="B20:J20"/>
    <mergeCell ref="K20:M20"/>
    <mergeCell ref="N20:P20"/>
    <mergeCell ref="R20:U20"/>
    <mergeCell ref="J11:K11"/>
    <mergeCell ref="B25:C25"/>
    <mergeCell ref="E25:G25"/>
    <mergeCell ref="I25:J25"/>
    <mergeCell ref="O25:P25"/>
    <mergeCell ref="B26:C26"/>
    <mergeCell ref="E26:G26"/>
    <mergeCell ref="I26:J26"/>
    <mergeCell ref="O26:P26"/>
    <mergeCell ref="B23:C23"/>
    <mergeCell ref="E23:G23"/>
    <mergeCell ref="I23:J23"/>
    <mergeCell ref="O23:P23"/>
    <mergeCell ref="B28:C28"/>
    <mergeCell ref="E28:G28"/>
    <mergeCell ref="I28:J28"/>
    <mergeCell ref="O28:P28"/>
    <mergeCell ref="R28:S28"/>
    <mergeCell ref="T28:U28"/>
    <mergeCell ref="B27:C27"/>
    <mergeCell ref="E27:G27"/>
    <mergeCell ref="I27:J27"/>
    <mergeCell ref="O27:P27"/>
    <mergeCell ref="R27:S27"/>
    <mergeCell ref="T27:U27"/>
    <mergeCell ref="R32:S32"/>
    <mergeCell ref="T32:U32"/>
    <mergeCell ref="B31:C31"/>
    <mergeCell ref="E31:G31"/>
    <mergeCell ref="I31:J31"/>
    <mergeCell ref="O31:P31"/>
    <mergeCell ref="R31:S31"/>
    <mergeCell ref="T31:U31"/>
    <mergeCell ref="B29:C29"/>
    <mergeCell ref="E29:G29"/>
    <mergeCell ref="I29:J29"/>
    <mergeCell ref="O29:P29"/>
    <mergeCell ref="B30:C30"/>
    <mergeCell ref="E30:G30"/>
    <mergeCell ref="I30:J30"/>
    <mergeCell ref="O30:P30"/>
    <mergeCell ref="B33:C33"/>
    <mergeCell ref="E33:G33"/>
    <mergeCell ref="I33:J33"/>
    <mergeCell ref="O33:P33"/>
    <mergeCell ref="B34:C34"/>
    <mergeCell ref="E34:G34"/>
    <mergeCell ref="I34:J34"/>
    <mergeCell ref="O34:P34"/>
    <mergeCell ref="B32:C32"/>
    <mergeCell ref="E32:G32"/>
    <mergeCell ref="I32:J32"/>
    <mergeCell ref="O32:P32"/>
    <mergeCell ref="B36:C36"/>
    <mergeCell ref="E36:G36"/>
    <mergeCell ref="I36:J36"/>
    <mergeCell ref="O36:P36"/>
    <mergeCell ref="R36:S36"/>
    <mergeCell ref="T36:U36"/>
    <mergeCell ref="B35:C35"/>
    <mergeCell ref="E35:G35"/>
    <mergeCell ref="I35:J35"/>
    <mergeCell ref="O35:P35"/>
    <mergeCell ref="R35:S35"/>
    <mergeCell ref="T35:U35"/>
    <mergeCell ref="R40:S40"/>
    <mergeCell ref="T40:U40"/>
    <mergeCell ref="B39:C39"/>
    <mergeCell ref="E39:G39"/>
    <mergeCell ref="I39:J39"/>
    <mergeCell ref="O39:P39"/>
    <mergeCell ref="R39:S39"/>
    <mergeCell ref="T39:U39"/>
    <mergeCell ref="B37:C37"/>
    <mergeCell ref="E37:G37"/>
    <mergeCell ref="I37:J37"/>
    <mergeCell ref="O37:P37"/>
    <mergeCell ref="B38:C38"/>
    <mergeCell ref="E38:G38"/>
    <mergeCell ref="I38:J38"/>
    <mergeCell ref="O38:P38"/>
    <mergeCell ref="B41:C41"/>
    <mergeCell ref="E41:G41"/>
    <mergeCell ref="I41:J41"/>
    <mergeCell ref="O41:P41"/>
    <mergeCell ref="B42:C42"/>
    <mergeCell ref="E42:G42"/>
    <mergeCell ref="I42:J42"/>
    <mergeCell ref="O42:P42"/>
    <mergeCell ref="B40:C40"/>
    <mergeCell ref="E40:G40"/>
    <mergeCell ref="I40:J40"/>
    <mergeCell ref="O40:P40"/>
    <mergeCell ref="B44:C44"/>
    <mergeCell ref="E44:G44"/>
    <mergeCell ref="I44:J44"/>
    <mergeCell ref="O44:P44"/>
    <mergeCell ref="R44:S44"/>
    <mergeCell ref="T44:U44"/>
    <mergeCell ref="B43:C43"/>
    <mergeCell ref="E43:G43"/>
    <mergeCell ref="I43:J43"/>
    <mergeCell ref="O43:P43"/>
    <mergeCell ref="R43:S43"/>
    <mergeCell ref="T43:U43"/>
    <mergeCell ref="R48:S48"/>
    <mergeCell ref="T48:U48"/>
    <mergeCell ref="B47:C47"/>
    <mergeCell ref="E47:G47"/>
    <mergeCell ref="I47:J47"/>
    <mergeCell ref="O47:P47"/>
    <mergeCell ref="R47:S47"/>
    <mergeCell ref="T47:U47"/>
    <mergeCell ref="B45:C45"/>
    <mergeCell ref="E45:G45"/>
    <mergeCell ref="I45:J45"/>
    <mergeCell ref="O45:P45"/>
    <mergeCell ref="B46:C46"/>
    <mergeCell ref="E46:G46"/>
    <mergeCell ref="I46:J46"/>
    <mergeCell ref="O46:P46"/>
    <mergeCell ref="B49:C49"/>
    <mergeCell ref="E49:G49"/>
    <mergeCell ref="I49:J49"/>
    <mergeCell ref="O49:P49"/>
    <mergeCell ref="B50:C50"/>
    <mergeCell ref="E50:G50"/>
    <mergeCell ref="I50:J50"/>
    <mergeCell ref="O50:P50"/>
    <mergeCell ref="B48:C48"/>
    <mergeCell ref="E48:G48"/>
    <mergeCell ref="I48:J48"/>
    <mergeCell ref="O48:P48"/>
    <mergeCell ref="B52:C52"/>
    <mergeCell ref="E52:G52"/>
    <mergeCell ref="I52:J52"/>
    <mergeCell ref="O52:P52"/>
    <mergeCell ref="R52:S52"/>
    <mergeCell ref="T52:U52"/>
    <mergeCell ref="B51:C51"/>
    <mergeCell ref="E51:G51"/>
    <mergeCell ref="I51:J51"/>
    <mergeCell ref="O51:P51"/>
    <mergeCell ref="R51:S51"/>
    <mergeCell ref="T51:U51"/>
    <mergeCell ref="R55:S55"/>
    <mergeCell ref="T55:U55"/>
    <mergeCell ref="B53:C53"/>
    <mergeCell ref="E53:G53"/>
    <mergeCell ref="I53:J53"/>
    <mergeCell ref="O53:P53"/>
    <mergeCell ref="B54:C54"/>
    <mergeCell ref="E54:G54"/>
    <mergeCell ref="I54:J54"/>
    <mergeCell ref="O54:P54"/>
    <mergeCell ref="E58:G58"/>
    <mergeCell ref="I58:J58"/>
    <mergeCell ref="O58:P58"/>
    <mergeCell ref="B59:C59"/>
    <mergeCell ref="E59:G59"/>
    <mergeCell ref="I59:J59"/>
    <mergeCell ref="O59:P59"/>
    <mergeCell ref="B55:C55"/>
    <mergeCell ref="E55:G55"/>
    <mergeCell ref="I55:J55"/>
    <mergeCell ref="O55:P55"/>
    <mergeCell ref="T62:U62"/>
    <mergeCell ref="B64:C64"/>
    <mergeCell ref="E64:G64"/>
    <mergeCell ref="I64:J64"/>
    <mergeCell ref="O64:P64"/>
    <mergeCell ref="R64:S64"/>
    <mergeCell ref="T64:U64"/>
    <mergeCell ref="R62:S62"/>
    <mergeCell ref="B56:C56"/>
    <mergeCell ref="E56:G56"/>
    <mergeCell ref="I56:J56"/>
    <mergeCell ref="O56:P56"/>
    <mergeCell ref="R56:S56"/>
    <mergeCell ref="T56:U56"/>
    <mergeCell ref="R59:S59"/>
    <mergeCell ref="T59:U59"/>
    <mergeCell ref="B60:C60"/>
    <mergeCell ref="E60:G60"/>
    <mergeCell ref="I60:J60"/>
    <mergeCell ref="O60:P60"/>
    <mergeCell ref="R60:S60"/>
    <mergeCell ref="T60:U60"/>
    <mergeCell ref="O57:P57"/>
    <mergeCell ref="B58:C58"/>
    <mergeCell ref="B76:C76"/>
    <mergeCell ref="I76:J76"/>
    <mergeCell ref="O61:P61"/>
    <mergeCell ref="B62:C62"/>
    <mergeCell ref="E62:G62"/>
    <mergeCell ref="I62:J62"/>
    <mergeCell ref="O62:P62"/>
    <mergeCell ref="I77:J77"/>
    <mergeCell ref="B57:C57"/>
    <mergeCell ref="E57:G57"/>
    <mergeCell ref="I57:J57"/>
    <mergeCell ref="B73:C73"/>
    <mergeCell ref="I73:J73"/>
    <mergeCell ref="B74:C74"/>
    <mergeCell ref="I74:J74"/>
    <mergeCell ref="B75:C75"/>
    <mergeCell ref="I75:J75"/>
    <mergeCell ref="B65:U65"/>
    <mergeCell ref="B71:C71"/>
    <mergeCell ref="E71:G71"/>
    <mergeCell ref="I71:J71"/>
    <mergeCell ref="B72:C72"/>
    <mergeCell ref="E72:G72"/>
    <mergeCell ref="I72:J72"/>
  </mergeCells>
  <conditionalFormatting sqref="W12">
    <cfRule type="containsText" dxfId="1" priority="1" operator="containsText" text="WRONG">
      <formula>NOT(ISERROR(SEARCH("WRONG",W12)))</formula>
    </cfRule>
    <cfRule type="containsText" dxfId="0" priority="2" operator="containsText" text="OK">
      <formula>NOT(ISERROR(SEARCH("OK",W12)))</formula>
    </cfRule>
  </conditionalFormatting>
  <printOptions horizontalCentered="1"/>
  <pageMargins left="3.9370078740157501E-2" right="3.9370078740157501E-2" top="0.55118110236220497" bottom="0.43307086614173201" header="0.196850393700787" footer="0.12"/>
  <pageSetup scale="94" orientation="portrait" horizontalDpi="360" verticalDpi="36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36</vt:i4>
      </vt:variant>
    </vt:vector>
  </HeadingPairs>
  <TitlesOfParts>
    <vt:vector size="50" baseType="lpstr">
      <vt:lpstr>Load</vt:lpstr>
      <vt:lpstr>Mix Design</vt:lpstr>
      <vt:lpstr>1</vt:lpstr>
      <vt:lpstr>2</vt:lpstr>
      <vt:lpstr>3</vt:lpstr>
      <vt:lpstr>4</vt:lpstr>
      <vt:lpstr>5</vt:lpstr>
      <vt:lpstr>6</vt:lpstr>
      <vt:lpstr>7</vt:lpstr>
      <vt:lpstr>8</vt:lpstr>
      <vt:lpstr>888</vt:lpstr>
      <vt:lpstr>9</vt:lpstr>
      <vt:lpstr>10</vt:lpstr>
      <vt:lpstr>999</vt:lpstr>
      <vt:lpstr>A1_Sites</vt:lpstr>
      <vt:lpstr>A2_Sites</vt:lpstr>
      <vt:lpstr>BHAVISRI</vt:lpstr>
      <vt:lpstr>Bovikanam_Hospital</vt:lpstr>
      <vt:lpstr>Gopalan</vt:lpstr>
      <vt:lpstr>Miyapadav</vt:lpstr>
      <vt:lpstr>NELLITHADAM</vt:lpstr>
      <vt:lpstr>Pachambalam</vt:lpstr>
      <vt:lpstr>Periyadka</vt:lpstr>
      <vt:lpstr>'1'!Print_Area</vt:lpstr>
      <vt:lpstr>'10'!Print_Area</vt:lpstr>
      <vt:lpstr>'2'!Print_Area</vt:lpstr>
      <vt:lpstr>'3'!Print_Area</vt:lpstr>
      <vt:lpstr>'4'!Print_Area</vt:lpstr>
      <vt:lpstr>'5'!Print_Area</vt:lpstr>
      <vt:lpstr>'6'!Print_Area</vt:lpstr>
      <vt:lpstr>'7'!Print_Area</vt:lpstr>
      <vt:lpstr>'8'!Print_Area</vt:lpstr>
      <vt:lpstr>'888'!Print_Area</vt:lpstr>
      <vt:lpstr>'9'!Print_Area</vt:lpstr>
      <vt:lpstr>'999'!Print_Area</vt:lpstr>
      <vt:lpstr>Load!Print_Area</vt:lpstr>
      <vt:lpstr>'1'!Print_Titles</vt:lpstr>
      <vt:lpstr>'10'!Print_Titles</vt:lpstr>
      <vt:lpstr>'2'!Print_Titles</vt:lpstr>
      <vt:lpstr>'3'!Print_Titles</vt:lpstr>
      <vt:lpstr>'4'!Print_Titles</vt:lpstr>
      <vt:lpstr>'5'!Print_Titles</vt:lpstr>
      <vt:lpstr>'6'!Print_Titles</vt:lpstr>
      <vt:lpstr>'7'!Print_Titles</vt:lpstr>
      <vt:lpstr>'8'!Print_Titles</vt:lpstr>
      <vt:lpstr>'888'!Print_Titles</vt:lpstr>
      <vt:lpstr>'9'!Print_Titles</vt:lpstr>
      <vt:lpstr>'999'!Print_Titles</vt:lpstr>
      <vt:lpstr>RazakPachambalam</vt:lpstr>
      <vt:lpstr>soorambail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Ready Mix OO</dc:creator>
  <cp:lastModifiedBy>Pramod Kayakkil</cp:lastModifiedBy>
  <cp:lastPrinted>2026-09-25T15:03:33Z</cp:lastPrinted>
  <dcterms:created xsi:type="dcterms:W3CDTF">2015-06-05T18:17:00Z</dcterms:created>
  <dcterms:modified xsi:type="dcterms:W3CDTF">2026-09-25T16:06:47Z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707691560788494495DD7C45E14FD767_12</vt:lpwstr>
  </property>
  <property fmtid="{D5CDD505-2E9C-101B-9397-08002B2CF9AE}" pid="3" name="KSOProductBuildVer">
    <vt:lpwstr>1033-12.2.0.13266</vt:lpwstr>
  </property>
</Properties>
</file>